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e09b477ec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ROADMAP" sheetId="1" r:id="R43df1c24eee84a42"/>
    <x:sheet xmlns:r="http://schemas.openxmlformats.org/officeDocument/2006/relationships" name="BQ REGISTER" sheetId="2" r:id="R314d10873191494b"/>
    <x:sheet xmlns:r="http://schemas.openxmlformats.org/officeDocument/2006/relationships" name="GANTT CHART" sheetId="3" r:id="Rc320da7a99224777"/>
    <x:sheet xmlns:r="http://schemas.openxmlformats.org/officeDocument/2006/relationships" name="PROGRESS TRACKER" sheetId="4" r:id="R426f6e3996b4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0097A7"/>
      </x:patternFill>
    </x:fill>
    <x:fill>
      <x:patternFill patternType="solid">
        <x:fgColor rgb="FFD6A600"/>
      </x:patternFill>
    </x:fill>
    <x:fill>
      <x:patternFill patternType="solid">
        <x:fgColor rgb="FFFFF2CC"/>
      </x:patternFill>
    </x:fill>
    <x:fill>
      <x:patternFill patternType="solid">
        <x:fgColor rgb="FFE2F0F2"/>
      </x:patternFill>
    </x:fill>
    <x:fill>
      <x:patternFill patternType="solid">
        <x:fgColor rgb="FFF2F2F2"/>
      </x:patternFill>
    </x:fill>
  </x:fills>
  <x:borders count="12">
    <x:border>
      <x:left/>
      <x:right/>
      <x:top/>
      <x:bottom/>
      <x:diagonal/>
    </x:border>
    <x:border>
      <x:left/>
      <x:right style="thin">
        <x:color rgb="FFFFFFFF"/>
      </x:right>
      <x:top/>
      <x:bottom style="medium">
        <x:color rgb="FF17365D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17365D"/>
      </x:bottom>
      <x:diagonal/>
    </x:border>
    <x:border>
      <x:left style="thin">
        <x:color rgb="FFFFFFFF"/>
      </x:left>
      <x:right/>
      <x:top/>
      <x:bottom style="medium">
        <x:color rgb="FF17365D"/>
      </x:bottom>
      <x:diagonal/>
    </x:border>
    <x:border>
      <x:left style="thin">
        <x:color rgb="FFB7C9D6"/>
      </x:left>
      <x:right style="thin">
        <x:color rgb="FFFFFFFF"/>
      </x:right>
      <x:top style="thin">
        <x:color rgb="FFB7C9D6"/>
      </x:top>
      <x:bottom style="medium">
        <x:color rgb="FF17365D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B7C9D6"/>
      </x:top>
      <x:bottom style="medium">
        <x:color rgb="FF17365D"/>
      </x:bottom>
      <x:diagonal/>
    </x:border>
    <x:border>
      <x:left style="thin">
        <x:color rgb="FFFFFFFF"/>
      </x:left>
      <x:right style="thin">
        <x:color rgb="FFB7C9D6"/>
      </x:right>
      <x:top style="thin">
        <x:color rgb="FFB7C9D6"/>
      </x:top>
      <x:bottom style="medium">
        <x:color rgb="FF17365D"/>
      </x:bottom>
      <x:diagonal/>
    </x:border>
    <x:border>
      <x:left style="thin">
        <x:color rgb="FFB7C9D6"/>
      </x:left>
      <x:right/>
      <x:top/>
      <x:bottom/>
      <x:diagonal/>
    </x:border>
    <x:border>
      <x:left/>
      <x:right style="thin">
        <x:color rgb="FFB7C9D6"/>
      </x:right>
      <x:top/>
      <x:bottom/>
      <x:diagonal/>
    </x:border>
    <x:border>
      <x:left style="thin">
        <x:color rgb="FFB7C9D6"/>
      </x:left>
      <x:right/>
      <x:top/>
      <x:bottom style="thin">
        <x:color rgb="FFB7C9D6"/>
      </x:bottom>
      <x:diagonal/>
    </x:border>
    <x:border>
      <x:left/>
      <x:right/>
      <x:top/>
      <x:bottom style="thin">
        <x:color rgb="FFB7C9D6"/>
      </x:bottom>
      <x:diagonal/>
    </x:border>
    <x:border>
      <x:left/>
      <x:right style="thin">
        <x:color rgb="FFB7C9D6"/>
      </x:right>
      <x:top/>
      <x:bottom style="thin">
        <x:color rgb="FFB7C9D6"/>
      </x:bottom>
      <x:diagonal/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201" fontId="1" fillId="3" borderId="8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201" fontId="1" fillId="3" borderId="11" xfId="0" applyNumberFormat="1" applyFont="1" applyFill="1" applyBorder="1" applyAlignment="1">
      <x:alignment vertical="center"/>
    </x:xf>
    <x:xf numFmtId="0" fontId="1" fillId="7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8" xfId="0" applyNumberFormat="1" applyFont="1" applyFill="1" applyBorder="1" applyAlignment="1">
      <x:alignment vertical="center"/>
    </x:xf>
    <x:xf numFmtId="0" fontId="1" fillId="7" borderId="9" xfId="0" applyNumberFormat="1" applyFont="1" applyFill="1" applyBorder="1" applyAlignment="1">
      <x:alignment vertical="center"/>
    </x:xf>
    <x:xf numFmtId="0" fontId="1" fillId="7" borderId="10" xfId="0" applyNumberFormat="1" applyFont="1" applyFill="1" applyBorder="1" applyAlignment="1">
      <x:alignment vertical="center"/>
    </x:xf>
    <x:xf numFmtId="0" fontId="1" fillId="7" borderId="11" xfId="0" applyNumberFormat="1" applyFont="1" applyFill="1" applyBorder="1" applyAlignment="1">
      <x:alignment vertical="center"/>
    </x:xf>
    <x:xf numFmtId="0" fontId="1" fillId="8" borderId="7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8" xfId="0" applyNumberFormat="1" applyFont="1" applyFill="1" applyBorder="1" applyAlignment="1">
      <x:alignment vertical="center"/>
    </x:xf>
    <x:xf numFmtId="0" fontId="1" fillId="8" borderId="9" xfId="0" applyNumberFormat="1" applyFont="1" applyFill="1" applyBorder="1" applyAlignment="1">
      <x:alignment vertical="center"/>
    </x:xf>
    <x:xf numFmtId="0" fontId="1" fillId="8" borderId="10" xfId="0" applyNumberFormat="1" applyFont="1" applyFill="1" applyBorder="1" applyAlignment="1">
      <x:alignment vertical="center"/>
    </x:xf>
    <x:xf numFmtId="0" fontId="1" fillId="8" borderId="11" xfId="0" applyNumberFormat="1" applyFont="1" applyFill="1" applyBorder="1" applyAlignment="1">
      <x:alignment vertical="center"/>
    </x:xf>
    <x:xf numFmtId="0" fontId="1" fillId="9" borderId="7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1" fillId="9" borderId="8" xfId="0" applyNumberFormat="1" applyFont="1" applyFill="1" applyBorder="1" applyAlignment="1">
      <x:alignment vertical="center"/>
    </x:xf>
    <x:xf numFmtId="0" fontId="1" fillId="9" borderId="9" xfId="0" applyNumberFormat="1" applyFont="1" applyFill="1" applyBorder="1" applyAlignment="1">
      <x:alignment vertical="center"/>
    </x:xf>
    <x:xf numFmtId="0" fontId="1" fillId="9" borderId="10" xfId="0" applyNumberFormat="1" applyFont="1" applyFill="1" applyBorder="1" applyAlignment="1">
      <x:alignment vertical="center"/>
    </x:xf>
    <x:xf numFmtId="0" fontId="1" fillId="9" borderId="11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 wrapText="1"/>
    </x:xf>
    <x:xf numFmtId="201" fontId="1" fillId="3" borderId="8" xfId="0" applyNumberFormat="1" applyFont="1" applyFill="1" applyBorder="1" applyAlignment="1">
      <x:alignment vertical="center" wrapText="1"/>
    </x:xf>
    <x:xf numFmtId="0" fontId="1" fillId="7" borderId="7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8" xfId="0" applyNumberFormat="1" applyFont="1" applyFill="1" applyBorder="1" applyAlignment="1">
      <x:alignment vertical="center" wrapText="1"/>
    </x:xf>
    <x:xf numFmtId="0" fontId="1" fillId="9" borderId="7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8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1" fillId="3" borderId="10" xfId="0" applyNumberFormat="1" applyFont="1" applyFill="1" applyBorder="1" applyAlignment="1">
      <x:alignment vertical="center" wrapText="1"/>
    </x:xf>
    <x:xf numFmtId="201" fontId="1" fillId="3" borderId="11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vertical="center" wrapText="1"/>
    </x:xf>
    <x:xf numFmtId="0" fontId="1" fillId="8" borderId="7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8" xfId="0" applyNumberFormat="1" applyFont="1" applyFill="1" applyBorder="1" applyAlignment="1">
      <x:alignment vertical="center" wrapText="1"/>
    </x:xf>
    <x:xf numFmtId="0" fontId="1" fillId="9" borderId="9" xfId="0" applyNumberFormat="1" applyFont="1" applyFill="1" applyBorder="1" applyAlignment="1">
      <x:alignment vertical="center" wrapText="1"/>
    </x:xf>
    <x:xf numFmtId="0" fontId="1" fillId="9" borderId="10" xfId="0" applyNumberFormat="1" applyFont="1" applyFill="1" applyBorder="1" applyAlignment="1">
      <x:alignment vertical="center" wrapText="1"/>
    </x:xf>
    <x:xf numFmtId="0" fontId="1" fillId="9" borderId="11" xfId="0" applyNumberFormat="1" applyFont="1" applyFill="1" applyBorder="1" applyAlignment="1">
      <x:alignment vertical="center" wrapText="1"/>
    </x:xf>
    <x:xf numFmtId="0" fontId="1" fillId="8" borderId="9" xfId="0" applyNumberFormat="1" applyFont="1" applyFill="1" applyBorder="1" applyAlignment="1">
      <x:alignment vertical="center" wrapText="1"/>
    </x:xf>
    <x:xf numFmtId="0" fontId="1" fillId="8" borderId="10" xfId="0" applyNumberFormat="1" applyFont="1" applyFill="1" applyBorder="1" applyAlignment="1">
      <x:alignment vertical="center" wrapText="1"/>
    </x:xf>
    <x:xf numFmtId="0" fontId="1" fillId="8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ca57a41894cb6" /><Relationship Type="http://schemas.openxmlformats.org/officeDocument/2006/relationships/theme" Target="/xl/theme/theme1.xml" Id="R2128264f4834434a" /><Relationship Type="http://schemas.openxmlformats.org/officeDocument/2006/relationships/sharedStrings" Target="/xl/sharedStrings.xml" Id="R66cfcb29b7b24d3b" /><Relationship Type="http://schemas.openxmlformats.org/officeDocument/2006/relationships/worksheet" Target="/xl/worksheets/sheet1.xml" Id="R43df1c24eee84a42" /><Relationship Type="http://schemas.openxmlformats.org/officeDocument/2006/relationships/worksheet" Target="/xl/worksheets/sheet2.xml" Id="R314d10873191494b" /><Relationship Type="http://schemas.openxmlformats.org/officeDocument/2006/relationships/worksheet" Target="/xl/worksheets/sheet3.xml" Id="Rc320da7a99224777" /><Relationship Type="http://schemas.openxmlformats.org/officeDocument/2006/relationships/worksheet" Target="/xl/worksheets/sheet4.xml" Id="R426f6e3996b444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9" hidden="0" customWidth="1"/>
    <x:col min="3" max="3" width="22" hidden="0" customWidth="1"/>
    <x:col min="4" max="4" width="27" hidden="0" customWidth="1"/>
    <x:col min="5" max="5" width="15" hidden="0" customWidth="1"/>
    <x:col min="6" max="6" width="38" hidden="0" customWidth="1"/>
    <x:col min="7" max="7" width="29" hidden="0" customWidth="1"/>
    <x:col min="8" max="8" width="15" hidden="0" customWidth="1"/>
    <x:col min="9" max="9" width="38" hidden="0" customWidth="1"/>
    <x:col min="10" max="10" width="29" hidden="0" customWidth="1"/>
    <x:col min="11" max="11" width="26" hidden="0" customWidth="1"/>
    <x:col min="12" max="12" width="22" hidden="0" customWidth="1"/>
    <x:col min="13" max="13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Cell2Cell Churn &amp; Retention — 15-Day Roadmap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 t="str">
        <x:v>Storyline: tin dữ liệu → định lượng churn → thời điểm/tín hiệu → dự đoán/ưu tiên → chính sách → thử nghiệm. Hai analyst làm song song; 20 BQ.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9" t="str">
        <x:v>Week</x:v>
      </x:c>
      <x:c r="B5" s="10" t="str">
        <x:v>Day</x:v>
      </x:c>
      <x:c r="C5" s="10" t="str">
        <x:v>Story act</x:v>
      </x:c>
      <x:c r="D5" s="10" t="str">
        <x:v>Daily objective</x:v>
      </x:c>
      <x:c r="E5" s="10" t="str">
        <x:v>Analyst A – BQ</x:v>
      </x:c>
      <x:c r="F5" s="10" t="str">
        <x:v>Analyst A – work</x:v>
      </x:c>
      <x:c r="G5" s="10" t="str">
        <x:v>Analyst A – deliverable</x:v>
      </x:c>
      <x:c r="H5" s="10" t="str">
        <x:v>Analyst B – BQ</x:v>
      </x:c>
      <x:c r="I5" s="10" t="str">
        <x:v>Analyst B – work</x:v>
      </x:c>
      <x:c r="J5" s="10" t="str">
        <x:v>Analyst B – deliverable</x:v>
      </x:c>
      <x:c r="K5" s="10" t="str">
        <x:v>Decision gate / milestone</x:v>
      </x:c>
      <x:c r="L5" s="10" t="str">
        <x:v>Dependencies</x:v>
      </x:c>
      <x:c r="M5" s="11" t="str">
        <x:v>Status</x:v>
      </x:c>
    </x:row>
    <x:row r="6" ht="54" customHeight="1">
      <x:c r="A6" s="13" t="str">
        <x:v>Week 1</x:v>
      </x:c>
      <x:c r="B6" s="13" t="str">
        <x:v>Day 1</x:v>
      </x:c>
      <x:c r="C6" s="13" t="str">
        <x:v>1. Tin dữ liệu</x:v>
      </x:c>
      <x:c r="D6" s="13" t="str">
        <x:v>Khóa cohort và chuẩn bị feature audit</x:v>
      </x:c>
      <x:c r="E6" s="13" t="str">
        <x:v>BQ01</x:v>
      </x:c>
      <x:c r="F6" s="13" t="str">
        <x:v>Raw vs complete-case; missingness; exclusion log</x:v>
      </x:c>
      <x:c r="G6" s="13" t="str">
        <x:v>C01 + cohort memo</x:v>
      </x:c>
      <x:c r="H6" s="13" t="str">
        <x:v>BQ03 prep</x:v>
      </x:c>
      <x:c r="I6" s="13" t="str">
        <x:v>Schema, unit và scoring-time availability</x:v>
      </x:c>
      <x:c r="J6" s="13" t="str">
        <x:v>Feature dictionary draft</x:v>
      </x:c>
      <x:c r="K6" s="13" t="str">
        <x:v>Data reconciliation</x:v>
      </x:c>
      <x:c r="L6" s="13" t="str">
        <x:v>Data source</x:v>
      </x:c>
      <x:c r="M6" s="13" t="str">
        <x:v>Not Started</x:v>
      </x:c>
    </x:row>
    <x:row r="7" ht="54" customHeight="1">
      <x:c r="A7" s="14" t="str">
        <x:v>Week 1</x:v>
      </x:c>
      <x:c r="B7" s="14" t="str">
        <x:v>Day 2</x:v>
      </x:c>
      <x:c r="C7" s="14" t="str">
        <x:v>1. Tin dữ liệu</x:v>
      </x:c>
      <x:c r="D7" s="14" t="str">
        <x:v>Khóa baseline và feature contract</x:v>
      </x:c>
      <x:c r="E7" s="14" t="str">
        <x:v>BQ02</x:v>
      </x:c>
      <x:c r="F7" s="14" t="str">
        <x:v>Baseline churn; CI; C02 waffle</x:v>
      </x:c>
      <x:c r="G7" s="14" t="str">
        <x:v>C02 + metric dictionary</x:v>
      </x:c>
      <x:c r="H7" s="14" t="str">
        <x:v>BQ03</x:v>
      </x:c>
      <x:c r="I7" s="14" t="str">
        <x:v>10-feature readiness và timing review</x:v>
      </x:c>
      <x:c r="J7" s="14" t="str">
        <x:v>C03 + feature contract</x:v>
      </x:c>
      <x:c r="K7" s="14" t="str">
        <x:v>G1 — Data lock</x:v>
      </x:c>
      <x:c r="L7" s="14" t="str">
        <x:v>BQ01</x:v>
      </x:c>
      <x:c r="M7" s="14" t="str">
        <x:v>Not Started</x:v>
      </x:c>
    </x:row>
    <x:row r="8" ht="54" customHeight="1">
      <x:c r="A8" s="13" t="str">
        <x:v>Week 1</x:v>
      </x:c>
      <x:c r="B8" s="13" t="str">
        <x:v>Day 3</x:v>
      </x:c>
      <x:c r="C8" s="13" t="str">
        <x:v>2. Thời điểm/thiết bị</x:v>
      </x:c>
      <x:c r="D8" s="13" t="str">
        <x:v>Lập hồ sơ tenure và mức sử dụng</x:v>
      </x:c>
      <x:c r="E8" s="13" t="str">
        <x:v>BQ04</x:v>
      </x:c>
      <x:c r="F8" s="13" t="str">
        <x:v>Monthly tenure curve; ordered cohorts</x:v>
      </x:c>
      <x:c r="G8" s="13" t="str">
        <x:v>C04 + tenure table</x:v>
      </x:c>
      <x:c r="H8" s="13" t="str">
        <x:v>BQ12</x:v>
      </x:c>
      <x:c r="I8" s="13" t="str">
        <x:v>MonthlyMinutes bands; tenure strata</x:v>
      </x:c>
      <x:c r="J8" s="13" t="str">
        <x:v>C12 + usage table</x:v>
      </x:c>
      <x:c r="K8" s="13" t="str">
        <x:v>Minimum-cell rule</x:v>
      </x:c>
      <x:c r="L8" s="13" t="str">
        <x:v>G1</x:v>
      </x:c>
      <x:c r="M8" s="13" t="str">
        <x:v>Not Started</x:v>
      </x:c>
    </x:row>
    <x:row r="9" ht="54" customHeight="1">
      <x:c r="A9" s="14" t="str">
        <x:v>Week 1</x:v>
      </x:c>
      <x:c r="B9" s="14" t="str">
        <x:v>Day 4</x:v>
      </x:c>
      <x:c r="C9" s="14" t="str">
        <x:v>2 &amp; 4. Lifecycle/behavior</x:v>
      </x:c>
      <x:c r="D9" s="14" t="str">
        <x:v>Kiểm tra threshold và usage decline</x:v>
      </x:c>
      <x:c r="E9" s="14" t="str">
        <x:v>BQ05</x:v>
      </x:c>
      <x:c r="F9" s="14" t="str">
        <x:v>Alternate tenure cut points; bootstrap stability</x:v>
      </x:c>
      <x:c r="G9" s="14" t="str">
        <x:v>C05 + trigger recommendation</x:v>
      </x:c>
      <x:c r="H9" s="14" t="str">
        <x:v>BQ13</x:v>
      </x:c>
      <x:c r="I9" s="14" t="str">
        <x:v>PercChangeMinutes risk/reach/lead time</x:v>
      </x:c>
      <x:c r="J9" s="14" t="str">
        <x:v>C13 + trigger spec</x:v>
      </x:c>
      <x:c r="K9" s="14" t="str">
        <x:v>Thresholds pre-specified</x:v>
      </x:c>
      <x:c r="L9" s="14" t="str">
        <x:v>BQ04; BQ12</x:v>
      </x:c>
      <x:c r="M9" s="14" t="str">
        <x:v>Not Started</x:v>
      </x:c>
    </x:row>
    <x:row r="10" ht="54" customHeight="1">
      <x:c r="A10" s="13" t="str">
        <x:v>Week 1</x:v>
      </x:c>
      <x:c r="B10" s="13" t="str">
        <x:v>Day 5</x:v>
      </x:c>
      <x:c r="C10" s="13" t="str">
        <x:v>2 &amp; 4. Device/behavior</x:v>
      </x:c>
      <x:c r="D10" s="13" t="str">
        <x:v>Tuổi thiết bị và revenue decline</x:v>
      </x:c>
      <x:c r="E10" s="13" t="str">
        <x:v>BQ06</x:v>
      </x:c>
      <x:c r="F10" s="13" t="str">
        <x:v>Equipment data audit; bands; churn sensitivity</x:v>
      </x:c>
      <x:c r="G10" s="13" t="str">
        <x:v>C06 + band dictionary</x:v>
      </x:c>
      <x:c r="H10" s="13" t="str">
        <x:v>BQ14</x:v>
      </x:c>
      <x:c r="I10" s="13" t="str">
        <x:v>PercChangeRevenues incremental evidence</x:v>
      </x:c>
      <x:c r="J10" s="13" t="str">
        <x:v>C14 + keep/drop decision</x:v>
      </x:c>
      <x:c r="K10" s="13" t="str">
        <x:v>Derived-field registry</x:v>
      </x:c>
      <x:c r="L10" s="13" t="str">
        <x:v>BQ03</x:v>
      </x:c>
      <x:c r="M10" s="13" t="str">
        <x:v>Not Started</x:v>
      </x:c>
    </x:row>
    <x:row r="11" ht="54" customHeight="1">
      <x:c r="A11" s="14" t="str">
        <x:v>Week 2</x:v>
      </x:c>
      <x:c r="B11" s="14" t="str">
        <x:v>Day 6</x:v>
      </x:c>
      <x:c r="C11" s="14" t="str">
        <x:v>2 &amp; 4. Device/behavior</x:v>
      </x:c>
      <x:c r="D11" s="14" t="str">
        <x:v>Tương tác thiết bị và disengagement</x:v>
      </x:c>
      <x:c r="E11" s="14" t="str">
        <x:v>BQ07</x:v>
      </x:c>
      <x:c r="F11" s="14" t="str">
        <x:v>Age × capability × tenure interaction</x:v>
      </x:c>
      <x:c r="G11" s="14" t="str">
        <x:v>C07 + device cohort</x:v>
      </x:c>
      <x:c r="H11" s="14" t="str">
        <x:v>BQ15</x:v>
      </x:c>
      <x:c r="I11" s="14" t="str">
        <x:v>Combined signals; peak increment; stability</x:v>
      </x:c>
      <x:c r="J11" s="14" t="str">
        <x:v>C15 + reason-code rule</x:v>
      </x:c>
      <x:c r="K11" s="14" t="str">
        <x:v>G2 — Descriptive evidence</x:v>
      </x:c>
      <x:c r="L11" s="14" t="str">
        <x:v>BQ04–BQ06; BQ12–BQ14</x:v>
      </x:c>
      <x:c r="M11" s="14" t="str">
        <x:v>Not Started</x:v>
      </x:c>
    </x:row>
    <x:row r="12" ht="54" customHeight="1">
      <x:c r="A12" s="13" t="str">
        <x:v>Week 2</x:v>
      </x:c>
      <x:c r="B12" s="13" t="str">
        <x:v>Day 7</x:v>
      </x:c>
      <x:c r="C12" s="13" t="str">
        <x:v>3. Giá trị/phí</x:v>
      </x:c>
      <x:c r="D12" s="13" t="str">
        <x:v>Value proxy và credit governance</x:v>
      </x:c>
      <x:c r="E12" s="13" t="str">
        <x:v>BQ08</x:v>
      </x:c>
      <x:c r="F12" s="13" t="str">
        <x:v>Value tiers; risk vs revenue exposure</x:v>
      </x:c>
      <x:c r="G12" s="13" t="str">
        <x:v>C08 + value dictionary</x:v>
      </x:c>
      <x:c r="H12" s="13" t="str">
        <x:v>BQ11</x:v>
      </x:c>
      <x:c r="I12" s="13" t="str">
        <x:v>Credit differences; charge/value strata; fairness</x:v>
      </x:c>
      <x:c r="J12" s="13" t="str">
        <x:v>C11 + governance note</x:v>
      </x:c>
      <x:c r="K12" s="13" t="str">
        <x:v>Risk and value separated</x:v>
      </x:c>
      <x:c r="L12" s="13" t="str">
        <x:v>BQ02–BQ03</x:v>
      </x:c>
      <x:c r="M12" s="13" t="str">
        <x:v>Not Started</x:v>
      </x:c>
    </x:row>
    <x:row r="13" ht="54" customHeight="1">
      <x:c r="A13" s="14" t="str">
        <x:v>Week 2</x:v>
      </x:c>
      <x:c r="B13" s="14" t="str">
        <x:v>Day 8</x:v>
      </x:c>
      <x:c r="C13" s="14" t="str">
        <x:v>3. Giá trị/phí</x:v>
      </x:c>
      <x:c r="D13" s="14" t="str">
        <x:v>Price/plan mismatch evidence</x:v>
      </x:c>
      <x:c r="E13" s="14" t="str">
        <x:v>BQ09–BQ10</x:v>
      </x:c>
      <x:c r="F13" s="14" t="str">
        <x:v>Charge bands; revenue-charge gap; sensitivity</x:v>
      </x:c>
      <x:c r="G13" s="14" t="str">
        <x:v>C09–C10 + mismatch cohort</x:v>
      </x:c>
      <x:c r="H13" s="14" t="str">
        <x:v>Support BQ11</x:v>
      </x:c>
      <x:c r="I13" s="14" t="str">
        <x:v>Stability and policy wording review</x:v>
      </x:c>
      <x:c r="J13" s="14" t="str">
        <x:v>Validated C11</x:v>
      </x:c>
      <x:c r="K13" s="14" t="str">
        <x:v>G3 — Segment logic</x:v>
      </x:c>
      <x:c r="L13" s="14" t="str">
        <x:v>BQ08–BQ11</x:v>
      </x:c>
      <x:c r="M13" s="14" t="str">
        <x:v>Not Started</x:v>
      </x:c>
    </x:row>
    <x:row r="14" ht="54" customHeight="1">
      <x:c r="A14" s="13" t="str">
        <x:v>Week 2</x:v>
      </x:c>
      <x:c r="B14" s="13" t="str">
        <x:v>Day 9</x:v>
      </x:c>
      <x:c r="C14" s="13" t="str">
        <x:v>5. Dự đoán</x:v>
      </x:c>
      <x:c r="D14" s="13" t="str">
        <x:v>Feature evidence và model design</x:v>
      </x:c>
      <x:c r="E14" s="13" t="str">
        <x:v>BQ16</x:v>
      </x:c>
      <x:c r="F14" s="13" t="str">
        <x:v>Effect/MI/OOF importance; redundancy; roles</x:v>
      </x:c>
      <x:c r="G14" s="13" t="str">
        <x:v>C16 + evidence register</x:v>
      </x:c>
      <x:c r="H14" s="13" t="str">
        <x:v>BQ17 prep</x:v>
      </x:c>
      <x:c r="I14" s="13" t="str">
        <x:v>Split strategy; CatBoost depth grid; metrics</x:v>
      </x:c>
      <x:c r="J14" s="13" t="str">
        <x:v>Model design note</x:v>
      </x:c>
      <x:c r="K14" s="13" t="str">
        <x:v>Only 10 base features</x:v>
      </x:c>
      <x:c r="L14" s="13" t="str">
        <x:v>BQ04–BQ15</x:v>
      </x:c>
      <x:c r="M14" s="13" t="str">
        <x:v>Not Started</x:v>
      </x:c>
    </x:row>
    <x:row r="15" ht="54" customHeight="1">
      <x:c r="A15" s="14" t="str">
        <x:v>Week 2</x:v>
      </x:c>
      <x:c r="B15" s="14" t="str">
        <x:v>Day 10</x:v>
      </x:c>
      <x:c r="C15" s="14" t="str">
        <x:v>5. Dự đoán</x:v>
      </x:c>
      <x:c r="D15" s="14" t="str">
        <x:v>Khóa evidence và tune model</x:v>
      </x:c>
      <x:c r="E15" s="14" t="str">
        <x:v>BQ16</x:v>
      </x:c>
      <x:c r="F15" s="14" t="str">
        <x:v>Stability review; reason-code pathway</x:v>
      </x:c>
      <x:c r="G15" s="14" t="str">
        <x:v>Feature contract final</x:v>
      </x:c>
      <x:c r="H15" s="14" t="str">
        <x:v>BQ17</x:v>
      </x:c>
      <x:c r="I15" s="14" t="str">
        <x:v>OOF depth tuning bằng log loss; calibration</x:v>
      </x:c>
      <x:c r="J15" s="14" t="str">
        <x:v>Draft C17 + model card</x:v>
      </x:c>
      <x:c r="K15" s="14" t="str">
        <x:v>No training-loss selection</x:v>
      </x:c>
      <x:c r="L15" s="14" t="str">
        <x:v>BQ16</x:v>
      </x:c>
      <x:c r="M15" s="14" t="str">
        <x:v>Not Started</x:v>
      </x:c>
    </x:row>
    <x:row r="16" ht="54" customHeight="1">
      <x:c r="A16" s="13" t="str">
        <x:v>Week 3</x:v>
      </x:c>
      <x:c r="B16" s="13" t="str">
        <x:v>Day 11</x:v>
      </x:c>
      <x:c r="C16" s="13" t="str">
        <x:v>5. Dự đoán</x:v>
      </x:c>
      <x:c r="D16" s="13" t="str">
        <x:v>Model acceptance và priority design</x:v>
      </x:c>
      <x:c r="E16" s="13" t="str">
        <x:v>BQ18 prep</x:v>
      </x:c>
      <x:c r="F16" s="13" t="str">
        <x:v>Risk × value × actionability logic</x:v>
      </x:c>
      <x:c r="G16" s="13" t="str">
        <x:v>Priority design draft</x:v>
      </x:c>
      <x:c r="H16" s="13" t="str">
        <x:v>BQ17</x:v>
      </x:c>
      <x:c r="I16" s="13" t="str">
        <x:v>Lift@5/10/20%; calibration; holdout QA</x:v>
      </x:c>
      <x:c r="J16" s="13" t="str">
        <x:v>C17 + model card</x:v>
      </x:c>
      <x:c r="K16" s="13" t="str">
        <x:v>G4 — Model acceptance</x:v>
      </x:c>
      <x:c r="L16" s="13" t="str">
        <x:v>BQ17</x:v>
      </x:c>
      <x:c r="M16" s="13" t="str">
        <x:v>Not Started</x:v>
      </x:c>
    </x:row>
    <x:row r="17" ht="54" customHeight="1">
      <x:c r="A17" s="14" t="str">
        <x:v>Week 3</x:v>
      </x:c>
      <x:c r="B17" s="14" t="str">
        <x:v>Day 12</x:v>
      </x:c>
      <x:c r="C17" s="14" t="str">
        <x:v>5–6. Ưu tiên/chính sách</x:v>
      </x:c>
      <x:c r="D17" s="14" t="str">
        <x:v>Khóa segment và dựng policy matrix</x:v>
      </x:c>
      <x:c r="E17" s="14" t="str">
        <x:v>BQ18</x:v>
      </x:c>
      <x:c r="F17" s="14" t="str">
        <x:v>Decile gain; capacity; P1–P4 segmentation</x:v>
      </x:c>
      <x:c r="G17" s="14" t="str">
        <x:v>C18 + segment dictionary</x:v>
      </x:c>
      <x:c r="H17" s="14" t="str">
        <x:v>BQ19</x:v>
      </x:c>
      <x:c r="I17" s="14" t="str">
        <x:v>Treatment inventory; eligibility/exclusion</x:v>
      </x:c>
      <x:c r="J17" s="14" t="str">
        <x:v>Policy matrix draft</x:v>
      </x:c>
      <x:c r="K17" s="14" t="str">
        <x:v>Segment handoff</x:v>
      </x:c>
      <x:c r="L17" s="14" t="str">
        <x:v>BQ17</x:v>
      </x:c>
      <x:c r="M17" s="14" t="str">
        <x:v>Not Started</x:v>
      </x:c>
    </x:row>
    <x:row r="18" ht="54" customHeight="1">
      <x:c r="A18" s="13" t="str">
        <x:v>Week 3</x:v>
      </x:c>
      <x:c r="B18" s="13" t="str">
        <x:v>Day 13</x:v>
      </x:c>
      <x:c r="C18" s="13" t="str">
        <x:v>6. Chính sách</x:v>
      </x:c>
      <x:c r="D18" s="13" t="str">
        <x:v>Capacity, threshold và economics</x:v>
      </x:c>
      <x:c r="E18" s="13" t="str">
        <x:v>BQ19</x:v>
      </x:c>
      <x:c r="F18" s="13" t="str">
        <x:v>Capacity curve; break-even scenarios; missing inputs</x:v>
      </x:c>
      <x:c r="G18" s="13" t="str">
        <x:v>C19 + assumptions register</x:v>
      </x:c>
      <x:c r="H18" s="13" t="str">
        <x:v>BQ19</x:v>
      </x:c>
      <x:c r="I18" s="13" t="str">
        <x:v>Treatment/control/channel/KPI/guardrail review</x:v>
      </x:c>
      <x:c r="J18" s="13" t="str">
        <x:v>Policy matrix final</x:v>
      </x:c>
      <x:c r="K18" s="13" t="str">
        <x:v>G5 — Policy readiness</x:v>
      </x:c>
      <x:c r="L18" s="13" t="str">
        <x:v>BQ18 + cost inputs</x:v>
      </x:c>
      <x:c r="M18" s="13" t="str">
        <x:v>Not Started</x:v>
      </x:c>
    </x:row>
    <x:row r="19" ht="54" customHeight="1">
      <x:c r="A19" s="14" t="str">
        <x:v>Week 3</x:v>
      </x:c>
      <x:c r="B19" s="14" t="str">
        <x:v>Day 14</x:v>
      </x:c>
      <x:c r="C19" s="14" t="str">
        <x:v>6. Đo hiệu quả</x:v>
      </x:c>
      <x:c r="D19" s="14" t="str">
        <x:v>Thiết kế pilot và monitoring</x:v>
      </x:c>
      <x:c r="E19" s="14" t="str">
        <x:v>BQ20</x:v>
      </x:c>
      <x:c r="F19" s="14" t="str">
        <x:v>Primary KPI; outcome window; decision rules</x:v>
      </x:c>
      <x:c r="G19" s="14" t="str">
        <x:v>Experiment KPI dictionary</x:v>
      </x:c>
      <x:c r="H19" s="14" t="str">
        <x:v>BQ20</x:v>
      </x:c>
      <x:c r="I19" s="14" t="str">
        <x:v>Randomization; MDE; capture; drift/fairness</x:v>
      </x:c>
      <x:c r="J19" s="14" t="str">
        <x:v>C20 + experiment brief</x:v>
      </x:c>
      <x:c r="K19" s="14" t="str">
        <x:v>Pilot design review</x:v>
      </x:c>
      <x:c r="L19" s="14" t="str">
        <x:v>BQ19</x:v>
      </x:c>
      <x:c r="M19" s="14" t="str">
        <x:v>Not Started</x:v>
      </x:c>
    </x:row>
    <x:row r="20" ht="54" customHeight="1">
      <x:c r="A20" s="13" t="str">
        <x:v>Week 3</x:v>
      </x:c>
      <x:c r="B20" s="13" t="str">
        <x:v>Day 15</x:v>
      </x:c>
      <x:c r="C20" s="13" t="str">
        <x:v>Integration</x:v>
      </x:c>
      <x:c r="D20" s="13" t="str">
        <x:v>Executive story, QA và handoff</x:v>
      </x:c>
      <x:c r="E20" s="13" t="str">
        <x:v>BQ01–BQ19</x:v>
      </x:c>
      <x:c r="F20" s="13" t="str">
        <x:v>Trace evidence → risk → segment → policy</x:v>
      </x:c>
      <x:c r="G20" s="13" t="str">
        <x:v>Final analytical pack</x:v>
      </x:c>
      <x:c r="H20" s="13" t="str">
        <x:v>BQ20</x:v>
      </x:c>
      <x:c r="I20" s="13" t="str">
        <x:v>Reproducibility; monitoring owner; QA</x:v>
      </x:c>
      <x:c r="J20" s="13" t="str">
        <x:v>Final experiment pack</x:v>
      </x:c>
      <x:c r="K20" s="13" t="str">
        <x:v>G6 — Pilot readiness</x:v>
      </x:c>
      <x:c r="L20" s="13" t="str">
        <x:v>All Must-have BQs</x:v>
      </x:c>
      <x:c r="M20" s="13" t="str">
        <x:v>Not Started</x:v>
      </x:c>
    </x:row>
  </x:sheetData>
  <x:conditionalFormatting sqref="M6:M20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Blocked"/>
  </x:conditionalFormatting>
  <x:dataValidations count="1">
    <x:dataValidation type="list" sqref="M6:M20">
      <x:formula1>"Not Started,In Progress,Blocked,Done"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0" hidden="0" customWidth="1"/>
    <x:col min="3" max="3" width="12" hidden="0" customWidth="1"/>
    <x:col min="4" max="4" width="12" hidden="0" customWidth="1"/>
    <x:col min="5" max="5" width="31" hidden="0" customWidth="1"/>
    <x:col min="6" max="6" width="31" hidden="0" customWidth="1"/>
    <x:col min="7" max="7" width="32" hidden="0" customWidth="1"/>
    <x:col min="8" max="8" width="34" hidden="0" customWidth="1"/>
    <x:col min="9" max="9" width="30" hidden="0" customWidth="1"/>
    <x:col min="10" max="10" width="32" hidden="0" customWidth="1"/>
    <x:col min="11" max="11" width="8" hidden="0" customWidth="1"/>
    <x:col min="12" max="12" width="29" hidden="0" customWidth="1"/>
    <x:col min="13" max="13" width="34" hidden="0" customWidth="1"/>
    <x:col min="14" max="14" width="10" hidden="0" customWidth="1"/>
    <x:col min="15" max="15" width="18" hidden="0" customWidth="1"/>
    <x:col min="16" max="16" width="14" hidden="0" customWidth="1"/>
    <x:col min="17" max="17" width="12" hidden="0" customWidth="1"/>
    <x:col min="18" max="18" width="16" hidden="0" customWidth="1"/>
    <x:col min="19" max="19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Business Question Register — 20 Decision Questions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4" t="str">
        <x:v>Base feature, target, derived field và external input được tách riêng. Chỉ cột Base feature(s) thuộc model contract 10 feature.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>
      <x:c r="A5" s="9" t="str">
        <x:v>BQ ID</x:v>
      </x:c>
      <x:c r="B5" s="10" t="str">
        <x:v>Story act</x:v>
      </x:c>
      <x:c r="C5" s="10" t="str">
        <x:v>Owner</x:v>
      </x:c>
      <x:c r="D5" s="10" t="str">
        <x:v>Priority</x:v>
      </x:c>
      <x:c r="E5" s="10" t="str">
        <x:v>Decision objective</x:v>
      </x:c>
      <x:c r="F5" s="10" t="str">
        <x:v>Business question</x:v>
      </x:c>
      <x:c r="G5" s="10" t="str">
        <x:v>Base feature(s) — only from 10</x:v>
      </x:c>
      <x:c r="H5" s="10" t="str">
        <x:v>Target / derived / external fields</x:v>
      </x:c>
      <x:c r="I5" s="10" t="str">
        <x:v>Metrics</x:v>
      </x:c>
      <x:c r="J5" s="10" t="str">
        <x:v>Method / evidence</x:v>
      </x:c>
      <x:c r="K5" s="10" t="str">
        <x:v>Chart</x:v>
      </x:c>
      <x:c r="L5" s="10" t="str">
        <x:v>Decision / retention link</x:v>
      </x:c>
      <x:c r="M5" s="10" t="str">
        <x:v>Deliverable / acceptance</x:v>
      </x:c>
      <x:c r="N5" s="10" t="str">
        <x:v>Est. hours</x:v>
      </x:c>
      <x:c r="O5" s="10" t="str">
        <x:v>Dependencies</x:v>
      </x:c>
      <x:c r="P5" s="10" t="str">
        <x:v>Status</x:v>
      </x:c>
      <x:c r="Q5" s="10" t="str">
        <x:v>Completion %</x:v>
      </x:c>
      <x:c r="R5" s="10" t="str">
        <x:v>Evidence status</x:v>
      </x:c>
      <x:c r="S5" s="11" t="str">
        <x:v>Policy status</x:v>
      </x:c>
    </x:row>
    <x:row r="6" ht="72" customHeight="1">
      <x:c r="A6" s="13" t="str">
        <x:v>BQ01</x:v>
      </x:c>
      <x:c r="B6" s="13" t="str">
        <x:v>1. Tin dữ liệu</x:v>
      </x:c>
      <x:c r="C6" s="13" t="str">
        <x:v>Analyst A</x:v>
      </x:c>
      <x:c r="D6" s="13" t="str">
        <x:v>Must-have</x:v>
      </x:c>
      <x:c r="E6" s="13" t="str">
        <x:v>Khóa analysis cohort và ngăn bias do missingness</x:v>
      </x:c>
      <x:c r="F6" s="13" t="str">
        <x:v>Cohort phân tích có đại diện và đối soát được không?</x:v>
      </x:c>
      <x:c r="G6" s="13" t="str">
        <x:v>None</x:v>
      </x:c>
      <x:c r="H6" s="13" t="str">
        <x:v>Target: Churn; QA: missing flags, CustomerID</x:v>
      </x:c>
      <x:c r="I6" s="13" t="str">
        <x:v>Raw/retained/dropped; churn rate nhóm thiếu/đủ; duplicate/invalid</x:v>
      </x:c>
      <x:c r="J6" s="13" t="str">
        <x:v>Missingness audit; cohort waterfall; raw vs complete-case sensitivity</x:v>
      </x:c>
      <x:c r="K6" s="13" t="str">
        <x:v>C01</x:v>
      </x:c>
      <x:c r="L6" s="13" t="str">
        <x:v>Quyết định nguồn phân tích chính</x:v>
      </x:c>
      <x:c r="M6" s="13" t="str">
        <x:v>Cohort memo + exclusion log; counts reconcile</x:v>
      </x:c>
      <x:c r="N6" s="15" t="n">
        <x:v>6</x:v>
      </x:c>
      <x:c r="O6" s="13" t="str">
        <x:v>Data source</x:v>
      </x:c>
      <x:c r="P6" s="13" t="str">
        <x:v>Not Started</x:v>
      </x:c>
      <x:c r="Q6" s="17" t="n">
        <x:v>0</x:v>
      </x:c>
      <x:c r="R6" s="13" t="str">
        <x:v>Pending</x:v>
      </x:c>
      <x:c r="S6" s="13" t="str">
        <x:v>Not Applicable</x:v>
      </x:c>
    </x:row>
    <x:row r="7" ht="72" customHeight="1">
      <x:c r="A7" s="14" t="str">
        <x:v>BQ02</x:v>
      </x:c>
      <x:c r="B7" s="14" t="str">
        <x:v>1. Tin dữ liệu</x:v>
      </x:c>
      <x:c r="C7" s="14" t="str">
        <x:v>Analyst A</x:v>
      </x:c>
      <x:c r="D7" s="14" t="str">
        <x:v>Must-have</x:v>
      </x:c>
      <x:c r="E7" s="14" t="str">
        <x:v>Khóa baseline duy nhất cho toàn dự án</x:v>
      </x:c>
      <x:c r="F7" s="14" t="str">
        <x:v>Churn lớn đến đâu và baseline có chắc chắn không?</x:v>
      </x:c>
      <x:c r="G7" s="14" t="str">
        <x:v>None</x:v>
      </x:c>
      <x:c r="H7" s="14" t="str">
        <x:v>Target: Churn</x:v>
      </x:c>
      <x:c r="I7" s="14" t="str">
        <x:v>Eligible; churn count/rate; Wilson 95% CI</x:v>
      </x:c>
      <x:c r="J7" s="14" t="str">
        <x:v>Target QA; descriptive reconciliation</x:v>
      </x:c>
      <x:c r="K7" s="14" t="str">
        <x:v>C02</x:v>
      </x:c>
      <x:c r="L7" s="14" t="str">
        <x:v>Định cỡ vấn đề và chuẩn so sánh</x:v>
      </x:c>
      <x:c r="M7" s="14" t="str">
        <x:v>KPI + waffle; count/rate khớp tuyệt đối</x:v>
      </x:c>
      <x:c r="N7" s="16" t="n">
        <x:v>4</x:v>
      </x:c>
      <x:c r="O7" s="14" t="str">
        <x:v>BQ01</x:v>
      </x:c>
      <x:c r="P7" s="14" t="str">
        <x:v>Not Started</x:v>
      </x:c>
      <x:c r="Q7" s="18" t="n">
        <x:v>0</x:v>
      </x:c>
      <x:c r="R7" s="14" t="str">
        <x:v>Pending</x:v>
      </x:c>
      <x:c r="S7" s="14" t="str">
        <x:v>Not Applicable</x:v>
      </x:c>
    </x:row>
    <x:row r="8" ht="72" customHeight="1">
      <x:c r="A8" s="13" t="str">
        <x:v>BQ03</x:v>
      </x:c>
      <x:c r="B8" s="13" t="str">
        <x:v>1. Tin dữ liệu</x:v>
      </x:c>
      <x:c r="C8" s="13" t="str">
        <x:v>Analyst B</x:v>
      </x:c>
      <x:c r="D8" s="13" t="str">
        <x:v>Must-have</x:v>
      </x:c>
      <x:c r="E8" s="13" t="str">
        <x:v>Khóa data dictionary và scoring-time availability</x:v>
      </x:c>
      <x:c r="F8" s="13" t="str">
        <x:v>Mười feature có hợp lệ và sẵn có tại thời điểm scoring không?</x:v>
      </x:c>
      <x:c r="G8" s="13" t="str">
        <x:v>All 10 base features</x:v>
      </x:c>
      <x:c r="H8" s="13" t="str">
        <x:v>QA: dtype, unit, range, timing, mapping</x:v>
      </x:c>
      <x:c r="I8" s="13" t="str">
        <x:v>Coverage; invalid/outlier; mapping; availability</x:v>
      </x:c>
      <x:c r="J8" s="13" t="str">
        <x:v>Schema/range audit; timing/leakage review; unit verification</x:v>
      </x:c>
      <x:c r="K8" s="13" t="str">
        <x:v>C03</x:v>
      </x:c>
      <x:c r="L8" s="13" t="str">
        <x:v>Chỉ feature hợp lệ mới vào pipeline</x:v>
      </x:c>
      <x:c r="M8" s="13" t="str">
        <x:v>Feature contract; 10/10 có owner và policy</x:v>
      </x:c>
      <x:c r="N8" s="15" t="n">
        <x:v>5</x:v>
      </x:c>
      <x:c r="O8" s="13" t="str">
        <x:v>BQ01</x:v>
      </x:c>
      <x:c r="P8" s="13" t="str">
        <x:v>Not Started</x:v>
      </x:c>
      <x:c r="Q8" s="17" t="n">
        <x:v>0</x:v>
      </x:c>
      <x:c r="R8" s="13" t="str">
        <x:v>Pending</x:v>
      </x:c>
      <x:c r="S8" s="13" t="str">
        <x:v>Not Applicable</x:v>
      </x:c>
    </x:row>
    <x:row r="9" ht="72" customHeight="1">
      <x:c r="A9" s="14" t="str">
        <x:v>BQ04</x:v>
      </x:c>
      <x:c r="B9" s="14" t="str">
        <x:v>2. Thời điểm/thiết bị</x:v>
      </x:c>
      <x:c r="C9" s="14" t="str">
        <x:v>Analyst A</x:v>
      </x:c>
      <x:c r="D9" s="14" t="str">
        <x:v>Must-have</x:v>
      </x:c>
      <x:c r="E9" s="14" t="str">
        <x:v>Tìm cửa sổ can thiệp theo vòng đời</x:v>
      </x:c>
      <x:c r="F9" s="14" t="str">
        <x:v>Churn thay đổi thế nào theo tenure?</x:v>
      </x:c>
      <x:c r="G9" s="14" t="str">
        <x:v>MonthsInService</x:v>
      </x:c>
      <x:c r="H9" s="14" t="str">
        <x:v>Derived: TenureBand; Target: Churn</x:v>
      </x:c>
      <x:c r="I9" s="14" t="str">
        <x:v>n; churn rate/CI; difference pp; risk ratio</x:v>
      </x:c>
      <x:c r="J9" s="14" t="str">
        <x:v>Monthly curve; ordered cohorts; minimum sample rule</x:v>
      </x:c>
      <x:c r="K9" s="14" t="str">
        <x:v>C04</x:v>
      </x:c>
      <x:c r="L9" s="14" t="str">
        <x:v>Chọn lifecycle check-in window</x:v>
      </x:c>
      <x:c r="M9" s="14" t="str">
        <x:v>Tenure table + C04; bands phủ cohort đúng một lần</x:v>
      </x:c>
      <x:c r="N9" s="16" t="n">
        <x:v>7</x:v>
      </x:c>
      <x:c r="O9" s="14" t="str">
        <x:v>BQ02–BQ03</x:v>
      </x:c>
      <x:c r="P9" s="14" t="str">
        <x:v>Not Started</x:v>
      </x:c>
      <x:c r="Q9" s="18" t="n">
        <x:v>0</x:v>
      </x:c>
      <x:c r="R9" s="14" t="str">
        <x:v>Pending</x:v>
      </x:c>
      <x:c r="S9" s="14" t="str">
        <x:v>Not Applicable</x:v>
      </x:c>
    </x:row>
    <x:row r="10" ht="72" customHeight="1">
      <x:c r="A10" s="13" t="str">
        <x:v>BQ05</x:v>
      </x:c>
      <x:c r="B10" s="13" t="str">
        <x:v>2. Thời điểm/thiết bị</x:v>
      </x:c>
      <x:c r="C10" s="13" t="str">
        <x:v>Analyst A</x:v>
      </x:c>
      <x:c r="D10" s="13" t="str">
        <x:v>Must-have</x:v>
      </x:c>
      <x:c r="E10" s="13" t="str">
        <x:v>Chọn tenure trigger ổn định, không cherry-pick</x:v>
      </x:c>
      <x:c r="F10" s="13" t="str">
        <x:v>Điểm gãy tenure có ổn định hay do cách chia nhóm?</x:v>
      </x:c>
      <x:c r="G10" s="13" t="str">
        <x:v>MonthsInService</x:v>
      </x:c>
      <x:c r="H10" s="13" t="str">
        <x:v>Derived: alternate TenureBand; Target: Churn</x:v>
      </x:c>
      <x:c r="I10" s="13" t="str">
        <x:v>Threshold stability; bootstrap CI; RR; n</x:v>
      </x:c>
      <x:c r="J10" s="13" t="str">
        <x:v>Alternate bands; rolling rate; placebo cut points; strata</x:v>
      </x:c>
      <x:c r="K10" s="13" t="str">
        <x:v>C05</x:v>
      </x:c>
      <x:c r="L10" s="13" t="str">
        <x:v>Can thiệp trước cửa sổ rủi ro</x:v>
      </x:c>
      <x:c r="M10" s="13" t="str">
        <x:v>Trigger giữ hướng qua sensitivity; causal wording đúng</x:v>
      </x:c>
      <x:c r="N10" s="15" t="n">
        <x:v>6</x:v>
      </x:c>
      <x:c r="O10" s="13" t="str">
        <x:v>BQ04</x:v>
      </x:c>
      <x:c r="P10" s="13" t="str">
        <x:v>Not Started</x:v>
      </x:c>
      <x:c r="Q10" s="17" t="n">
        <x:v>0</x:v>
      </x:c>
      <x:c r="R10" s="13" t="str">
        <x:v>Pending</x:v>
      </x:c>
      <x:c r="S10" s="13" t="str">
        <x:v>Not Applicable</x:v>
      </x:c>
    </x:row>
    <x:row r="11" ht="72" customHeight="1">
      <x:c r="A11" s="14" t="str">
        <x:v>BQ06</x:v>
      </x:c>
      <x:c r="B11" s="14" t="str">
        <x:v>2. Thời điểm/thiết bị</x:v>
      </x:c>
      <x:c r="C11" s="14" t="str">
        <x:v>Analyst A</x:v>
      </x:c>
      <x:c r="D11" s="14" t="str">
        <x:v>Must-have</x:v>
      </x:c>
      <x:c r="E11" s="14" t="str">
        <x:v>Xác định device-review cohort</x:v>
      </x:c>
      <x:c r="F11" s="14" t="str">
        <x:v>Tuổi thiết bị liên quan thế nào đến churn?</x:v>
      </x:c>
      <x:c r="G11" s="14" t="str">
        <x:v>CurrentEquipmentDays</x:v>
      </x:c>
      <x:c r="H11" s="14" t="str">
        <x:v>Derived: EquipmentAgeBand; Target: Churn</x:v>
      </x:c>
      <x:c r="I11" s="14" t="str">
        <x:v>Range/outlier; rate/lift/CI; n; sensitivity</x:v>
      </x:c>
      <x:c r="J11" s="14" t="str">
        <x:v>Audit âm/outlier; quantile + business bands; tenure strata</x:v>
      </x:c>
      <x:c r="K11" s="14" t="str">
        <x:v>C06</x:v>
      </x:c>
      <x:c r="L11" s="14" t="str">
        <x:v>Chọn cohort upgrade/trade-in</x:v>
      </x:c>
      <x:c r="M11" s="14" t="str">
        <x:v>Band dictionary; derived field không tính là feature mới</x:v>
      </x:c>
      <x:c r="N11" s="16" t="n">
        <x:v>6</x:v>
      </x:c>
      <x:c r="O11" s="14" t="str">
        <x:v>BQ02–BQ03</x:v>
      </x:c>
      <x:c r="P11" s="14" t="str">
        <x:v>Not Started</x:v>
      </x:c>
      <x:c r="Q11" s="18" t="n">
        <x:v>0</x:v>
      </x:c>
      <x:c r="R11" s="14" t="str">
        <x:v>Pending</x:v>
      </x:c>
      <x:c r="S11" s="14" t="str">
        <x:v>Not Applicable</x:v>
      </x:c>
    </x:row>
    <x:row r="12" ht="72" customHeight="1">
      <x:c r="A12" s="13" t="str">
        <x:v>BQ07</x:v>
      </x:c>
      <x:c r="B12" s="13" t="str">
        <x:v>2. Thời điểm/thiết bị</x:v>
      </x:c>
      <x:c r="C12" s="13" t="str">
        <x:v>Analyst A</x:v>
      </x:c>
      <x:c r="D12" s="13" t="str">
        <x:v>Must-have</x:v>
      </x:c>
      <x:c r="E12" s="13" t="str">
        <x:v>Phân biệt upgrade, education và không can thiệp</x:v>
      </x:c>
      <x:c r="F12" s="13" t="str">
        <x:v>Tuổi thiết bị và web capability có tương tác sau khi xét tenure không?</x:v>
      </x:c>
      <x:c r="G12" s="13" t="str">
        <x:v>CurrentEquipmentDays; HandsetWebCapable; MonthsInService</x:v>
      </x:c>
      <x:c r="H12" s="13" t="str">
        <x:v>Derived: EquipmentAgeBand, TenureBand; Target: Churn</x:v>
      </x:c>
      <x:c r="I12" s="13" t="str">
        <x:v>Rate/lift; interaction; within-tenure effect; n</x:v>
      </x:c>
      <x:c r="J12" s="13" t="str">
        <x:v>2D strata; small-cell mask; interaction sensitivity</x:v>
      </x:c>
      <x:c r="K12" s="13" t="str">
        <x:v>C07</x:v>
      </x:c>
      <x:c r="L12" s="13" t="str">
        <x:v>Thiết kế device pilot đúng nhóm</x:v>
      </x:c>
      <x:c r="M12" s="13" t="str">
        <x:v>Main effect/interaction riêng; effect không do tenure</x:v>
      </x:c>
      <x:c r="N12" s="15" t="n">
        <x:v>6</x:v>
      </x:c>
      <x:c r="O12" s="13" t="str">
        <x:v>BQ04–BQ06</x:v>
      </x:c>
      <x:c r="P12" s="13" t="str">
        <x:v>Not Started</x:v>
      </x:c>
      <x:c r="Q12" s="17" t="n">
        <x:v>0</x:v>
      </x:c>
      <x:c r="R12" s="13" t="str">
        <x:v>Pending</x:v>
      </x:c>
      <x:c r="S12" s="13" t="str">
        <x:v>Draft</x:v>
      </x:c>
    </x:row>
    <x:row r="13" ht="72" customHeight="1">
      <x:c r="A13" s="14" t="str">
        <x:v>BQ08</x:v>
      </x:c>
      <x:c r="B13" s="14" t="str">
        <x:v>3. Giá trị/phí</x:v>
      </x:c>
      <x:c r="C13" s="14" t="str">
        <x:v>Analyst A</x:v>
      </x:c>
      <x:c r="D13" s="14" t="str">
        <x:v>Must-have</x:v>
      </x:c>
      <x:c r="E13" s="14" t="str">
        <x:v>Tách churn risk khỏi value proxy</x:v>
      </x:c>
      <x:c r="F13" s="14" t="str">
        <x:v>Monthly revenue liên quan thế nào đến risk và value?</x:v>
      </x:c>
      <x:c r="G13" s="14" t="str">
        <x:v>MonthlyRevenue</x:v>
      </x:c>
      <x:c r="H13" s="14" t="str">
        <x:v>Derived: ValueTier; Target: Churn</x:v>
      </x:c>
      <x:c r="I13" s="14" t="str">
        <x:v>Median/IQR; rate/lift; n; revenue-at-risk proxy</x:v>
      </x:c>
      <x:c r="J13" s="14" t="str">
        <x:v>Distribution; quantiles; tail sensitivity</x:v>
      </x:c>
      <x:c r="K13" s="14" t="str">
        <x:v>C08</x:v>
      </x:c>
      <x:c r="L13" s="14" t="str">
        <x:v>Tạo value dimension cho ưu tiên</x:v>
      </x:c>
      <x:c r="M13" s="14" t="str">
        <x:v>ValueTier tái lập; không gọi MonthlyRevenue là CLV</x:v>
      </x:c>
      <x:c r="N13" s="16" t="n">
        <x:v>6</x:v>
      </x:c>
      <x:c r="O13" s="14" t="str">
        <x:v>BQ02–BQ03</x:v>
      </x:c>
      <x:c r="P13" s="14" t="str">
        <x:v>Not Started</x:v>
      </x:c>
      <x:c r="Q13" s="18" t="n">
        <x:v>0</x:v>
      </x:c>
      <x:c r="R13" s="14" t="str">
        <x:v>Pending</x:v>
      </x:c>
      <x:c r="S13" s="14" t="str">
        <x:v>Not Applicable</x:v>
      </x:c>
    </x:row>
    <x:row r="14" ht="72" customHeight="1">
      <x:c r="A14" s="13" t="str">
        <x:v>BQ09</x:v>
      </x:c>
      <x:c r="B14" s="13" t="str">
        <x:v>3. Giá trị/phí</x:v>
      </x:c>
      <x:c r="C14" s="13" t="str">
        <x:v>Analyst A</x:v>
      </x:c>
      <x:c r="D14" s="13" t="str">
        <x:v>Must-have</x:v>
      </x:c>
      <x:c r="E14" s="13" t="str">
        <x:v>Tìm nhóm cần bill/plan review</x:v>
      </x:c>
      <x:c r="F14" s="13" t="str">
        <x:v>Phí định kỳ có quan hệ phi tuyến với churn không?</x:v>
      </x:c>
      <x:c r="G14" s="13" t="str">
        <x:v>TotalRecurringCharge; MonthlyRevenue</x:v>
      </x:c>
      <x:c r="H14" s="13" t="str">
        <x:v>Derived: ChargeBand, ValueTier; Target: Churn</x:v>
      </x:c>
      <x:c r="I14" s="13" t="str">
        <x:v>Rate/CI; median; difference pp; non-linear effect</x:v>
      </x:c>
      <x:c r="J14" s="13" t="str">
        <x:v>Bands; spline/PDP sensitivity; value strata</x:v>
      </x:c>
      <x:c r="K14" s="13" t="str">
        <x:v>C09</x:v>
      </x:c>
      <x:c r="L14" s="13" t="str">
        <x:v>Bill explanation/right-size plan candidate</x:v>
      </x:c>
      <x:c r="M14" s="13" t="str">
        <x:v>Risk và reach rõ; không suy ra tác động tăng/giảm phí</x:v>
      </x:c>
      <x:c r="N14" s="15" t="n">
        <x:v>6</x:v>
      </x:c>
      <x:c r="O14" s="13" t="str">
        <x:v>BQ08</x:v>
      </x:c>
      <x:c r="P14" s="13" t="str">
        <x:v>Not Started</x:v>
      </x:c>
      <x:c r="Q14" s="17" t="n">
        <x:v>0</x:v>
      </x:c>
      <x:c r="R14" s="13" t="str">
        <x:v>Pending</x:v>
      </x:c>
      <x:c r="S14" s="13" t="str">
        <x:v>Draft</x:v>
      </x:c>
    </x:row>
    <x:row r="15" ht="72" customHeight="1">
      <x:c r="A15" s="14" t="str">
        <x:v>BQ10</x:v>
      </x:c>
      <x:c r="B15" s="14" t="str">
        <x:v>3. Giá trị/phí</x:v>
      </x:c>
      <x:c r="C15" s="14" t="str">
        <x:v>Analyst A</x:v>
      </x:c>
      <x:c r="D15" s="14" t="str">
        <x:v>Should-have</x:v>
      </x:c>
      <x:c r="E15" s="14" t="str">
        <x:v>Xác định price/plan mismatch cohort</x:v>
      </x:c>
      <x:c r="F15" s="14" t="str">
        <x:v>Revenue–charge gap có tạo mismatch candidate không?</x:v>
      </x:c>
      <x:c r="G15" s="14" t="str">
        <x:v>MonthlyRevenue; TotalRecurringCharge</x:v>
      </x:c>
      <x:c r="H15" s="14" t="str">
        <x:v>Derived: RevenueChargeGap; Target: Churn</x:v>
      </x:c>
      <x:c r="I15" s="14" t="str">
        <x:v>Gap distribution; rate/lift; n; tail sensitivity</x:v>
      </x:c>
      <x:c r="J15" s="14" t="str">
        <x:v>Bins quanh 0; quantiles; outlier/value strata</x:v>
      </x:c>
      <x:c r="K15" s="14" t="str">
        <x:v>C10</x:v>
      </x:c>
      <x:c r="L15" s="14" t="str">
        <x:v>Bill review, cap/alert hoặc plan review</x:v>
      </x:c>
      <x:c r="M15" s="14" t="str">
        <x:v>Không gọi gap là margin/overage; incremental evidence</x:v>
      </x:c>
      <x:c r="N15" s="16" t="n">
        <x:v>5</x:v>
      </x:c>
      <x:c r="O15" s="14" t="str">
        <x:v>BQ08–BQ09</x:v>
      </x:c>
      <x:c r="P15" s="14" t="str">
        <x:v>Not Started</x:v>
      </x:c>
      <x:c r="Q15" s="18" t="n">
        <x:v>0</x:v>
      </x:c>
      <x:c r="R15" s="14" t="str">
        <x:v>Pending</x:v>
      </x:c>
      <x:c r="S15" s="14" t="str">
        <x:v>Draft</x:v>
      </x:c>
    </x:row>
    <x:row r="16" ht="72" customHeight="1">
      <x:c r="A16" s="13" t="str">
        <x:v>BQ11</x:v>
      </x:c>
      <x:c r="B16" s="13" t="str">
        <x:v>3. Giá trị/phí</x:v>
      </x:c>
      <x:c r="C16" s="13" t="str">
        <x:v>Analyst B</x:v>
      </x:c>
      <x:c r="D16" s="13" t="str">
        <x:v>Must-have</x:v>
      </x:c>
      <x:c r="E16" s="13" t="str">
        <x:v>Thiết kế payment support có fairness guardrail</x:v>
      </x:c>
      <x:c r="F16" s="13" t="str">
        <x:v>Credit segment có khác biệt churn sau khi xét revenue/charge không?</x:v>
      </x:c>
      <x:c r="G16" s="13" t="str">
        <x:v>CreditRating; MonthlyRevenue; TotalRecurringCharge</x:v>
      </x:c>
      <x:c r="H16" s="13" t="str">
        <x:v>Derived: ValueTier, ChargeBand; Target: Churn</x:v>
      </x:c>
      <x:c r="I16" s="13" t="str">
        <x:v>Rate/lift/CI; disparity; within-strata effect; n</x:v>
      </x:c>
      <x:c r="J16" s="13" t="str">
        <x:v>Mapping audit; Cramér's V; strata; interaction</x:v>
      </x:c>
      <x:c r="K16" s="13" t="str">
        <x:v>C11</x:v>
      </x:c>
      <x:c r="L16" s="13" t="str">
        <x:v>Payment reminder/flexibility nếu được phép</x:v>
      </x:c>
      <x:c r="M16" s="13" t="str">
        <x:v>Fairness note; prohibited use; category mapping rõ</x:v>
      </x:c>
      <x:c r="N16" s="15" t="n">
        <x:v>6</x:v>
      </x:c>
      <x:c r="O16" s="13" t="str">
        <x:v>BQ08–BQ09</x:v>
      </x:c>
      <x:c r="P16" s="13" t="str">
        <x:v>Not Started</x:v>
      </x:c>
      <x:c r="Q16" s="17" t="n">
        <x:v>0</x:v>
      </x:c>
      <x:c r="R16" s="13" t="str">
        <x:v>Pending</x:v>
      </x:c>
      <x:c r="S16" s="13" t="str">
        <x:v>Draft</x:v>
      </x:c>
    </x:row>
    <x:row r="17" ht="72" customHeight="1">
      <x:c r="A17" s="14" t="str">
        <x:v>BQ12</x:v>
      </x:c>
      <x:c r="B17" s="14" t="str">
        <x:v>4. Sử dụng/hành vi</x:v>
      </x:c>
      <x:c r="C17" s="14" t="str">
        <x:v>Analyst B</x:v>
      </x:c>
      <x:c r="D17" s="14" t="str">
        <x:v>Must-have</x:v>
      </x:c>
      <x:c r="E17" s="14" t="str">
        <x:v>Xác định low-engagement cohort</x:v>
      </x:c>
      <x:c r="F17" s="14" t="str">
        <x:v>Mức sử dụng hàng tháng liên quan thế nào đến churn?</x:v>
      </x:c>
      <x:c r="G17" s="14" t="str">
        <x:v>MonthlyMinutes; MonthsInService</x:v>
      </x:c>
      <x:c r="H17" s="14" t="str">
        <x:v>Derived: MinutesBand, TenureBand; Target: Churn</x:v>
      </x:c>
      <x:c r="I17" s="14" t="str">
        <x:v>Distribution; rate/lift/CI; n; median/IQR</x:v>
      </x:c>
      <x:c r="J17" s="14" t="str">
        <x:v>Usage bands; outlier sensitivity; tenure/value strata</x:v>
      </x:c>
      <x:c r="K17" s="14" t="str">
        <x:v>C12</x:v>
      </x:c>
      <x:c r="L17" s="14" t="str">
        <x:v>Re-engagement hoặc plan review</x:v>
      </x:c>
      <x:c r="M17" s="14" t="str">
        <x:v>Rate và volume tách riêng; band đủ mẫu</x:v>
      </x:c>
      <x:c r="N17" s="16" t="n">
        <x:v>6</x:v>
      </x:c>
      <x:c r="O17" s="14" t="str">
        <x:v>BQ02–BQ03</x:v>
      </x:c>
      <x:c r="P17" s="14" t="str">
        <x:v>Not Started</x:v>
      </x:c>
      <x:c r="Q17" s="18" t="n">
        <x:v>0</x:v>
      </x:c>
      <x:c r="R17" s="14" t="str">
        <x:v>Pending</x:v>
      </x:c>
      <x:c r="S17" s="14" t="str">
        <x:v>Not Applicable</x:v>
      </x:c>
    </x:row>
    <x:row r="18" ht="72" customHeight="1">
      <x:c r="A18" s="13" t="str">
        <x:v>BQ13</x:v>
      </x:c>
      <x:c r="B18" s="13" t="str">
        <x:v>4. Sử dụng/hành vi</x:v>
      </x:c>
      <x:c r="C18" s="13" t="str">
        <x:v>Analyst B</x:v>
      </x:c>
      <x:c r="D18" s="13" t="str">
        <x:v>Must-have</x:v>
      </x:c>
      <x:c r="E18" s="13" t="str">
        <x:v>Khóa usage-decline trigger có lead time</x:v>
      </x:c>
      <x:c r="F18" s="13" t="str">
        <x:v>Giảm minutes có tạo trigger đủ risk, reach và lead time không?</x:v>
      </x:c>
      <x:c r="G18" s="13" t="str">
        <x:v>PercChangeMinutes; MonthlyMinutes</x:v>
      </x:c>
      <x:c r="H18" s="13" t="str">
        <x:v>Derived: UsageTrendBand; Target: Churn</x:v>
      </x:c>
      <x:c r="I18" s="13" t="str">
        <x:v>Rate/lift/CI; coverage; precision/recall; availability</x:v>
      </x:c>
      <x:c r="J18" s="13" t="str">
        <x:v>Bins quanh 0; threshold sensitivity; validation split</x:v>
      </x:c>
      <x:c r="K18" s="13" t="str">
        <x:v>C13</x:v>
      </x:c>
      <x:c r="L18" s="13" t="str">
        <x:v>Kích hoạt re-engagement/plan review</x:v>
      </x:c>
      <x:c r="M18" s="13" t="str">
        <x:v>Đơn vị/timing xác minh; threshold không overfit</x:v>
      </x:c>
      <x:c r="N18" s="15" t="n">
        <x:v>7</x:v>
      </x:c>
      <x:c r="O18" s="13" t="str">
        <x:v>BQ12</x:v>
      </x:c>
      <x:c r="P18" s="13" t="str">
        <x:v>Not Started</x:v>
      </x:c>
      <x:c r="Q18" s="17" t="n">
        <x:v>0</x:v>
      </x:c>
      <x:c r="R18" s="13" t="str">
        <x:v>Pending</x:v>
      </x:c>
      <x:c r="S18" s="13" t="str">
        <x:v>Draft</x:v>
      </x:c>
    </x:row>
    <x:row r="19" ht="72" customHeight="1">
      <x:c r="A19" s="14" t="str">
        <x:v>BQ14</x:v>
      </x:c>
      <x:c r="B19" s="14" t="str">
        <x:v>4. Sử dụng/hành vi</x:v>
      </x:c>
      <x:c r="C19" s="14" t="str">
        <x:v>Analyst B</x:v>
      </x:c>
      <x:c r="D19" s="14" t="str">
        <x:v>Must-have</x:v>
      </x:c>
      <x:c r="E19" s="14" t="str">
        <x:v>Khóa hoặc loại spend-decline trigger</x:v>
      </x:c>
      <x:c r="F19" s="14" t="str">
        <x:v>Giảm revenue có thêm thông tin ngoài value hiện tại không?</x:v>
      </x:c>
      <x:c r="G19" s="14" t="str">
        <x:v>PercChangeRevenues; MonthlyRevenue</x:v>
      </x:c>
      <x:c r="H19" s="14" t="str">
        <x:v>Derived: RevenueTrendBand, ValueTier; Target: Churn</x:v>
      </x:c>
      <x:c r="I19" s="14" t="str">
        <x:v>Rate/lift; coverage; conditional lift; redundancy</x:v>
      </x:c>
      <x:c r="J19" s="14" t="str">
        <x:v>Trend bands; value strata; MI/permutation increment</x:v>
      </x:c>
      <x:c r="K19" s="14" t="str">
        <x:v>C14</x:v>
      </x:c>
      <x:c r="L19" s="14" t="str">
        <x:v>Bill/plan review hoặc combined trigger</x:v>
      </x:c>
      <x:c r="M19" s="14" t="str">
        <x:v>Chỉ giữ nếu có incremental evidence và timing hợp lệ</x:v>
      </x:c>
      <x:c r="N19" s="16" t="n">
        <x:v>7</x:v>
      </x:c>
      <x:c r="O19" s="14" t="str">
        <x:v>BQ08; BQ12</x:v>
      </x:c>
      <x:c r="P19" s="14" t="str">
        <x:v>Not Started</x:v>
      </x:c>
      <x:c r="Q19" s="18" t="n">
        <x:v>0</x:v>
      </x:c>
      <x:c r="R19" s="14" t="str">
        <x:v>Pending</x:v>
      </x:c>
      <x:c r="S19" s="14" t="str">
        <x:v>Draft</x:v>
      </x:c>
    </x:row>
    <x:row r="20" ht="72" customHeight="1">
      <x:c r="A20" s="13" t="str">
        <x:v>BQ15</x:v>
      </x:c>
      <x:c r="B20" s="13" t="str">
        <x:v>4. Sử dụng/hành vi</x:v>
      </x:c>
      <x:c r="C20" s="13" t="str">
        <x:v>Analyst B</x:v>
      </x:c>
      <x:c r="D20" s="13" t="str">
        <x:v>Must-have</x:v>
      </x:c>
      <x:c r="E20" s="13" t="str">
        <x:v>Khóa disengagement reason code ổn định</x:v>
      </x:c>
      <x:c r="F20" s="13" t="str">
        <x:v>Kết hợp usage, change signals và peak pattern có tạo reason code ổn định không?</x:v>
      </x:c>
      <x:c r="G20" s="13" t="str">
        <x:v>MonthlyMinutes; PercChangeMinutes; PercChangeRevenues; PeakCallsInOut; MonthsInService</x:v>
      </x:c>
      <x:c r="H20" s="13" t="str">
        <x:v>Derived: DisengagementFlag, trend bands, TenureBand; Target: Churn</x:v>
      </x:c>
      <x:c r="I20" s="13" t="str">
        <x:v>Coverage; lift; precision/recall; overlap; peak increment</x:v>
      </x:c>
      <x:c r="J20" s="13" t="str">
        <x:v>Prespecified rules; validation-fold comparison; tenure stability</x:v>
      </x:c>
      <x:c r="K20" s="13" t="str">
        <x:v>C15</x:v>
      </x:c>
      <x:c r="L20" s="13" t="str">
        <x:v>Outbound trigger ưu tiên</x:v>
      </x:c>
      <x:c r="M20" s="13" t="str">
        <x:v>Báo risk + reach; PeakCalls giữ khi có incremental evidence</x:v>
      </x:c>
      <x:c r="N20" s="15" t="n">
        <x:v>8</x:v>
      </x:c>
      <x:c r="O20" s="13" t="str">
        <x:v>BQ04; BQ12–BQ14</x:v>
      </x:c>
      <x:c r="P20" s="13" t="str">
        <x:v>Not Started</x:v>
      </x:c>
      <x:c r="Q20" s="17" t="n">
        <x:v>0</x:v>
      </x:c>
      <x:c r="R20" s="13" t="str">
        <x:v>Pending</x:v>
      </x:c>
      <x:c r="S20" s="13" t="str">
        <x:v>Draft</x:v>
      </x:c>
    </x:row>
    <x:row r="21" ht="72" customHeight="1">
      <x:c r="A21" s="14" t="str">
        <x:v>BQ16</x:v>
      </x:c>
      <x:c r="B21" s="14" t="str">
        <x:v>5. Dự đoán/ưu tiên</x:v>
      </x:c>
      <x:c r="C21" s="14" t="str">
        <x:v>Analyst A</x:v>
      </x:c>
      <x:c r="D21" s="14" t="str">
        <x:v>Must-have</x:v>
      </x:c>
      <x:c r="E21" s="14" t="str">
        <x:v>Khóa evidence register cho bộ 10</x:v>
      </x:c>
      <x:c r="F21" s="14" t="str">
        <x:v>Feature nào ổn định và còn giá trị khi xem đồng thời?</x:v>
      </x:c>
      <x:c r="G21" s="14" t="str">
        <x:v>All 10 base features</x:v>
      </x:c>
      <x:c r="H21" s="14" t="str">
        <x:v>Target: Churn; evidence register</x:v>
      </x:c>
      <x:c r="I21" s="14" t="str">
        <x:v>Effect; FDR; MI; OOF permutation; SHAP stability; redundancy</x:v>
      </x:c>
      <x:c r="J21" s="14" t="str">
        <x:v>Evidence matrix; bootstrap/fold stability; timing/actionability</x:v>
      </x:c>
      <x:c r="K21" s="14" t="str">
        <x:v>C16</x:v>
      </x:c>
      <x:c r="L21" s="14" t="str">
        <x:v>Chọn feature roles và reason-code candidates</x:v>
      </x:c>
      <x:c r="M21" s="14" t="str">
        <x:v>Register đủ Evidence/Timing/Actionability/Governance</x:v>
      </x:c>
      <x:c r="N21" s="16" t="n">
        <x:v>8</x:v>
      </x:c>
      <x:c r="O21" s="14" t="str">
        <x:v>BQ04–BQ15</x:v>
      </x:c>
      <x:c r="P21" s="14" t="str">
        <x:v>Not Started</x:v>
      </x:c>
      <x:c r="Q21" s="18" t="n">
        <x:v>0</x:v>
      </x:c>
      <x:c r="R21" s="14" t="str">
        <x:v>Pending</x:v>
      </x:c>
      <x:c r="S21" s="14" t="str">
        <x:v>Not Applicable</x:v>
      </x:c>
    </x:row>
    <x:row r="22" ht="72" customHeight="1">
      <x:c r="A22" s="13" t="str">
        <x:v>BQ17</x:v>
      </x:c>
      <x:c r="B22" s="13" t="str">
        <x:v>5. Dự đoán/ưu tiên</x:v>
      </x:c>
      <x:c r="C22" s="13" t="str">
        <x:v>Analyst B</x:v>
      </x:c>
      <x:c r="D22" s="13" t="str">
        <x:v>Must-have</x:v>
      </x:c>
      <x:c r="E22" s="13" t="str">
        <x:v>Khóa CatBoost depth và model card</x:v>
      </x:c>
      <x:c r="F22" s="13" t="str">
        <x:v>Depth nào tối ưu validation loss và xếp hạng có đáng tin không?</x:v>
      </x:c>
      <x:c r="G22" s="13" t="str">
        <x:v>All 10 base features</x:v>
      </x:c>
      <x:c r="H22" s="13" t="str">
        <x:v>Target: Churn; Output: RiskScore</x:v>
      </x:c>
      <x:c r="I22" s="13" t="str">
        <x:v>Train/valid log loss; ROC/PR; calibration; lift@5/10/20%</x:v>
      </x:c>
      <x:c r="J22" s="13" t="str">
        <x:v>Stratified CV/holdout; native cat features; early stopping</x:v>
      </x:c>
      <x:c r="K22" s="13" t="str">
        <x:v>C17</x:v>
      </x:c>
      <x:c r="L22" s="13" t="str">
        <x:v>Tạo risk score không cần manual encoding</x:v>
      </x:c>
      <x:c r="M22" s="13" t="str">
        <x:v>Depth chọn bằng OOF/valid; metrics từ unseen predictions</x:v>
      </x:c>
      <x:c r="N22" s="15" t="n">
        <x:v>10</x:v>
      </x:c>
      <x:c r="O22" s="13" t="str">
        <x:v>BQ16</x:v>
      </x:c>
      <x:c r="P22" s="13" t="str">
        <x:v>Not Started</x:v>
      </x:c>
      <x:c r="Q22" s="17" t="n">
        <x:v>0</x:v>
      </x:c>
      <x:c r="R22" s="13" t="str">
        <x:v>Pending</x:v>
      </x:c>
      <x:c r="S22" s="13" t="str">
        <x:v>Not Applicable</x:v>
      </x:c>
    </x:row>
    <x:row r="23" ht="72" customHeight="1">
      <x:c r="A23" s="14" t="str">
        <x:v>BQ18</x:v>
      </x:c>
      <x:c r="B23" s="14" t="str">
        <x:v>5. Dự đoán/ưu tiên</x:v>
      </x:c>
      <x:c r="C23" s="14" t="str">
        <x:v>Analyst A</x:v>
      </x:c>
      <x:c r="D23" s="14" t="str">
        <x:v>Must-have</x:v>
      </x:c>
      <x:c r="E23" s="14" t="str">
        <x:v>Ưu tiên campaign theo capacity</x:v>
      </x:c>
      <x:c r="F23" s="14" t="str">
        <x:v>Ai cần ưu tiên khi campaign capacity hữu hạn?</x:v>
      </x:c>
      <x:c r="G23" s="14" t="str">
        <x:v>MonthlyRevenue (value proxy)</x:v>
      </x:c>
      <x:c r="H23" s="14" t="str">
        <x:v>Derived: RiskDecile, ValueTier, reason code, PrioritySegment</x:v>
      </x:c>
      <x:c r="I23" s="14" t="str">
        <x:v>Segment size; lift; recall/precision; expected churners; value proxy</x:v>
      </x:c>
      <x:c r="J23" s="14" t="str">
        <x:v>Decile table; risk × value matrix; capacity 5/10/20%</x:v>
      </x:c>
      <x:c r="K23" s="14" t="str">
        <x:v>C18</x:v>
      </x:c>
      <x:c r="L23" s="14" t="str">
        <x:v>Phân P1–P4 và thứ tự liên hệ</x:v>
      </x:c>
      <x:c r="M23" s="14" t="str">
        <x:v>Segments mutually exclusive/exhaustive; OOF scores</x:v>
      </x:c>
      <x:c r="N23" s="16" t="n">
        <x:v>8</x:v>
      </x:c>
      <x:c r="O23" s="14" t="str">
        <x:v>BQ17</x:v>
      </x:c>
      <x:c r="P23" s="14" t="str">
        <x:v>Not Started</x:v>
      </x:c>
      <x:c r="Q23" s="18" t="n">
        <x:v>0</x:v>
      </x:c>
      <x:c r="R23" s="14" t="str">
        <x:v>Pending</x:v>
      </x:c>
      <x:c r="S23" s="14" t="str">
        <x:v>Draft</x:v>
      </x:c>
    </x:row>
    <x:row r="24" ht="72" customHeight="1">
      <x:c r="A24" s="13" t="str">
        <x:v>BQ19</x:v>
      </x:c>
      <x:c r="B24" s="13" t="str">
        <x:v>6. Chính sách/đo lường</x:v>
      </x:c>
      <x:c r="C24" s="13" t="str">
        <x:v>Shared</x:v>
      </x:c>
      <x:c r="D24" s="13" t="str">
        <x:v>Must-have</x:v>
      </x:c>
      <x:c r="E24" s="13" t="str">
        <x:v>Khóa policy matrix và threshold khả thi</x:v>
      </x:c>
      <x:c r="F24" s="13" t="str">
        <x:v>Chính sách nào phù hợp từng reason code và threshold nào khả thi?</x:v>
      </x:c>
      <x:c r="G24" s="13" t="str">
        <x:v>None — use approved BQ18 outputs</x:v>
      </x:c>
      <x:c r="H24" s="13" t="str">
        <x:v>Derived: PrioritySegment/reason; External: capacity, cost, margin/CLV, uplift</x:v>
      </x:c>
      <x:c r="I24" s="13" t="str">
        <x:v>Eligible/reach; expected churners; break-even uplift/value</x:v>
      </x:c>
      <x:c r="J24" s="13" t="str">
        <x:v>Evidence-to-policy mapping; scenarios; capacity sensitivity</x:v>
      </x:c>
      <x:c r="K24" s="13" t="str">
        <x:v>C19</x:v>
      </x:c>
      <x:c r="L24" s="13" t="str">
        <x:v>Chọn treatment/channel/timing/exclusion</x:v>
      </x:c>
      <x:c r="M24" s="13" t="str">
        <x:v>Mỗi segment đủ treatment/control/KPI/guardrail; missing = n.a.</x:v>
      </x:c>
      <x:c r="N24" s="15" t="n">
        <x:v>10</x:v>
      </x:c>
      <x:c r="O24" s="13" t="str">
        <x:v>BQ18 + external cost inputs</x:v>
      </x:c>
      <x:c r="P24" s="13" t="str">
        <x:v>Not Started</x:v>
      </x:c>
      <x:c r="Q24" s="17" t="n">
        <x:v>0</x:v>
      </x:c>
      <x:c r="R24" s="13" t="str">
        <x:v>Pending</x:v>
      </x:c>
      <x:c r="S24" s="13" t="str">
        <x:v>Draft</x:v>
      </x:c>
    </x:row>
    <x:row r="25" ht="72" customHeight="1">
      <x:c r="A25" s="14" t="str">
        <x:v>BQ20</x:v>
      </x:c>
      <x:c r="B25" s="14" t="str">
        <x:v>6. Chính sách/đo lường</x:v>
      </x:c>
      <x:c r="C25" s="14" t="str">
        <x:v>Shared</x:v>
      </x:c>
      <x:c r="D25" s="14" t="str">
        <x:v>Must-have</x:v>
      </x:c>
      <x:c r="E25" s="14" t="str">
        <x:v>Khóa pilot và monitoring plan</x:v>
      </x:c>
      <x:c r="F25" s="14" t="str">
        <x:v>Thử nghiệm và giám sát thế nào để scale, sửa hoặc dừng?</x:v>
      </x:c>
      <x:c r="G25" s="14" t="str">
        <x:v>None</x:v>
      </x:c>
      <x:c r="H25" s="14" t="str">
        <x:v>Experiment: treatment/control/outcomes; Monitoring: feature/score/model version</x:v>
      </x:c>
      <x:c r="I25" s="14" t="str">
        <x:v>ITT churn lift; CI/MDE; cost/save; guardrails; drift/fairness</x:v>
      </x:c>
      <x:c r="J25" s="14" t="str">
        <x:v>Randomized pilot; pre-specified window; stop rule; monitoring</x:v>
      </x:c>
      <x:c r="K25" s="14" t="str">
        <x:v>C20</x:v>
      </x:c>
      <x:c r="L25" s="14" t="str">
        <x:v>Đo incremental impact và vận hành an toàn</x:v>
      </x:c>
      <x:c r="M25" s="14" t="str">
        <x:v>Sample/data capture/owner/decision rules đầy đủ</x:v>
      </x:c>
      <x:c r="N25" s="16" t="n">
        <x:v>10</x:v>
      </x:c>
      <x:c r="O25" s="14" t="str">
        <x:v>BQ19</x:v>
      </x:c>
      <x:c r="P25" s="14" t="str">
        <x:v>Not Started</x:v>
      </x:c>
      <x:c r="Q25" s="18" t="n">
        <x:v>0</x:v>
      </x:c>
      <x:c r="R25" s="14" t="str">
        <x:v>Pending</x:v>
      </x:c>
      <x:c r="S25" s="14" t="str">
        <x:v>Draft</x:v>
      </x:c>
    </x:row>
  </x:sheetData>
  <x:conditionalFormatting sqref="P6:P25">
    <x:cfRule type="containsText" dxfId="3" priority="1" operator="containsText" text="Done"/>
    <x:cfRule type="containsText" dxfId="4" priority="2" operator="containsText" text="In Progress"/>
    <x:cfRule type="containsText" dxfId="5" priority="3" operator="containsText" text="Blocked"/>
  </x:conditionalFormatting>
  <x:conditionalFormatting sqref="D6:D25">
    <x:cfRule type="containsText" dxfId="6" priority="4" operator="containsText" text="Must-have"/>
    <x:cfRule type="containsText" dxfId="7" priority="5" operator="containsText" text="Should-have"/>
  </x:conditionalFormatting>
  <x:dataValidations count="3">
    <x:dataValidation type="list" sqref="P6:P25">
      <x:formula1>"Not Started,In Progress,Blocked,Done"</x:formula1>
    </x:dataValidation>
    <x:dataValidation type="list" sqref="R6:R25">
      <x:formula1>"Pending,Observed,Supported,Validated"</x:formula1>
    </x:dataValidation>
    <x:dataValidation type="list" sqref="S6:S25">
      <x:formula1>"Not Applicable,Draft,Ready,Testing"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97A7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1" hidden="0" customWidth="1"/>
    <x:col min="4" max="4" width="11" hidden="0" customWidth="1"/>
    <x:col min="5" max="5" width="13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A2" s="3" t="str">
        <x:v>Gantt Chart — 20 BQ / 15 Working Days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A3" s="4" t="str">
        <x:v>Màu xanh dương: Analyst A; xanh ngọc: Analyst B; vàng: shared integration, policy và experiment.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>
      <x:c r="A5" s="9" t="str">
        <x:v>Workstream</x:v>
      </x:c>
      <x:c r="B5" s="10" t="str">
        <x:v>Task / BQ</x:v>
      </x:c>
      <x:c r="C5" s="10" t="str">
        <x:v>Start day</x:v>
      </x:c>
      <x:c r="D5" s="10" t="str">
        <x:v>End day</x:v>
      </x:c>
      <x:c r="E5" s="10" t="str">
        <x:v>Owner</x:v>
      </x:c>
      <x:c r="F5" s="10" t="str">
        <x:v>D1</x:v>
      </x:c>
      <x:c r="G5" s="10" t="str">
        <x:v>D2</x:v>
      </x:c>
      <x:c r="H5" s="10" t="str">
        <x:v>D3</x:v>
      </x:c>
      <x:c r="I5" s="10" t="str">
        <x:v>D4</x:v>
      </x:c>
      <x:c r="J5" s="10" t="str">
        <x:v>D5</x:v>
      </x:c>
      <x:c r="K5" s="10" t="str">
        <x:v>D6</x:v>
      </x:c>
      <x:c r="L5" s="10" t="str">
        <x:v>D7</x:v>
      </x:c>
      <x:c r="M5" s="10" t="str">
        <x:v>D8</x:v>
      </x:c>
      <x:c r="N5" s="10" t="str">
        <x:v>D9</x:v>
      </x:c>
      <x:c r="O5" s="10" t="str">
        <x:v>D10</x:v>
      </x:c>
      <x:c r="P5" s="10" t="str">
        <x:v>D11</x:v>
      </x:c>
      <x:c r="Q5" s="10" t="str">
        <x:v>D12</x:v>
      </x:c>
      <x:c r="R5" s="10" t="str">
        <x:v>D13</x:v>
      </x:c>
      <x:c r="S5" s="10" t="str">
        <x:v>D14</x:v>
      </x:c>
      <x:c r="T5" s="11" t="str">
        <x:v>D15</x:v>
      </x:c>
    </x:row>
    <x:row r="6" ht="26" customHeight="1">
      <x:c r="A6" s="12" t="str">
        <x:v>Data trust</x:v>
      </x:c>
      <x:c r="B6" s="12" t="str">
        <x:v>BQ01</x:v>
      </x:c>
      <x:c r="C6" s="12" t="n">
        <x:v>1</x:v>
      </x:c>
      <x:c r="D6" s="12" t="n">
        <x:v>1</x:v>
      </x:c>
      <x:c r="E6" s="12" t="str">
        <x:v>Analyst A</x:v>
      </x:c>
      <x:c r="F6" s="23" t="str">
        <x:v>BQ01</x:v>
      </x:c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</x:row>
    <x:row r="7" ht="26" customHeight="1">
      <x:c r="A7" s="2" t="str">
        <x:v>Data trust</x:v>
      </x:c>
      <x:c r="B7" s="2" t="str">
        <x:v>BQ02</x:v>
      </x:c>
      <x:c r="C7" s="2" t="n">
        <x:v>2</x:v>
      </x:c>
      <x:c r="D7" s="2" t="n">
        <x:v>2</x:v>
      </x:c>
      <x:c r="E7" s="2" t="str">
        <x:v>Analyst A</x:v>
      </x:c>
      <x:c r="F7" s="22"/>
      <x:c r="G7" s="23" t="str">
        <x:v>BQ02</x:v>
      </x:c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</x:row>
    <x:row r="8" ht="26" customHeight="1">
      <x:c r="A8" s="12" t="str">
        <x:v>Feature readiness</x:v>
      </x:c>
      <x:c r="B8" s="12" t="str">
        <x:v>BQ03</x:v>
      </x:c>
      <x:c r="C8" s="12" t="n">
        <x:v>1</x:v>
      </x:c>
      <x:c r="D8" s="12" t="n">
        <x:v>2</x:v>
      </x:c>
      <x:c r="E8" s="12" t="str">
        <x:v>Analyst B</x:v>
      </x:c>
      <x:c r="F8" s="24" t="str">
        <x:v>BQ03</x:v>
      </x:c>
      <x:c r="G8" s="24" t="str">
        <x:v>BQ03</x:v>
      </x:c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</x:row>
    <x:row r="9" ht="26" customHeight="1">
      <x:c r="A9" s="2" t="str">
        <x:v>Lifecycle</x:v>
      </x:c>
      <x:c r="B9" s="2" t="str">
        <x:v>BQ04</x:v>
      </x:c>
      <x:c r="C9" s="2" t="n">
        <x:v>3</x:v>
      </x:c>
      <x:c r="D9" s="2" t="n">
        <x:v>3</x:v>
      </x:c>
      <x:c r="E9" s="2" t="str">
        <x:v>Analyst A</x:v>
      </x:c>
      <x:c r="F9" s="22"/>
      <x:c r="G9" s="22"/>
      <x:c r="H9" s="23" t="str">
        <x:v>BQ04</x:v>
      </x:c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</x:row>
    <x:row r="10" ht="26" customHeight="1">
      <x:c r="A10" s="12" t="str">
        <x:v>Lifecycle</x:v>
      </x:c>
      <x:c r="B10" s="12" t="str">
        <x:v>BQ05</x:v>
      </x:c>
      <x:c r="C10" s="12" t="n">
        <x:v>4</x:v>
      </x:c>
      <x:c r="D10" s="12" t="n">
        <x:v>4</x:v>
      </x:c>
      <x:c r="E10" s="12" t="str">
        <x:v>Analyst A</x:v>
      </x:c>
      <x:c r="F10" s="21"/>
      <x:c r="G10" s="21"/>
      <x:c r="H10" s="21"/>
      <x:c r="I10" s="23" t="str">
        <x:v>BQ05</x:v>
      </x:c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</x:row>
    <x:row r="11" ht="26" customHeight="1">
      <x:c r="A11" s="2" t="str">
        <x:v>Device</x:v>
      </x:c>
      <x:c r="B11" s="2" t="str">
        <x:v>BQ06</x:v>
      </x:c>
      <x:c r="C11" s="2" t="n">
        <x:v>5</x:v>
      </x:c>
      <x:c r="D11" s="2" t="n">
        <x:v>5</x:v>
      </x:c>
      <x:c r="E11" s="2" t="str">
        <x:v>Analyst A</x:v>
      </x:c>
      <x:c r="F11" s="22"/>
      <x:c r="G11" s="22"/>
      <x:c r="H11" s="22"/>
      <x:c r="I11" s="22"/>
      <x:c r="J11" s="23" t="str">
        <x:v>BQ06</x:v>
      </x:c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</x:row>
    <x:row r="12" ht="26" customHeight="1">
      <x:c r="A12" s="12" t="str">
        <x:v>Device</x:v>
      </x:c>
      <x:c r="B12" s="12" t="str">
        <x:v>BQ07</x:v>
      </x:c>
      <x:c r="C12" s="12" t="n">
        <x:v>6</x:v>
      </x:c>
      <x:c r="D12" s="12" t="n">
        <x:v>6</x:v>
      </x:c>
      <x:c r="E12" s="12" t="str">
        <x:v>Analyst A</x:v>
      </x:c>
      <x:c r="F12" s="21"/>
      <x:c r="G12" s="21"/>
      <x:c r="H12" s="21"/>
      <x:c r="I12" s="21"/>
      <x:c r="J12" s="21"/>
      <x:c r="K12" s="23" t="str">
        <x:v>BQ07</x:v>
      </x:c>
      <x:c r="L12" s="21"/>
      <x:c r="M12" s="21"/>
      <x:c r="N12" s="21"/>
      <x:c r="O12" s="21"/>
      <x:c r="P12" s="21"/>
      <x:c r="Q12" s="21"/>
      <x:c r="R12" s="21"/>
      <x:c r="S12" s="21"/>
      <x:c r="T12" s="21"/>
    </x:row>
    <x:row r="13" ht="26" customHeight="1">
      <x:c r="A13" s="2" t="str">
        <x:v>Value/Price</x:v>
      </x:c>
      <x:c r="B13" s="2" t="str">
        <x:v>BQ08</x:v>
      </x:c>
      <x:c r="C13" s="2" t="n">
        <x:v>7</x:v>
      </x:c>
      <x:c r="D13" s="2" t="n">
        <x:v>7</x:v>
      </x:c>
      <x:c r="E13" s="2" t="str">
        <x:v>Analyst A</x:v>
      </x:c>
      <x:c r="F13" s="22"/>
      <x:c r="G13" s="22"/>
      <x:c r="H13" s="22"/>
      <x:c r="I13" s="22"/>
      <x:c r="J13" s="22"/>
      <x:c r="K13" s="22"/>
      <x:c r="L13" s="23" t="str">
        <x:v>BQ08</x:v>
      </x:c>
      <x:c r="M13" s="22"/>
      <x:c r="N13" s="22"/>
      <x:c r="O13" s="22"/>
      <x:c r="P13" s="22"/>
      <x:c r="Q13" s="22"/>
      <x:c r="R13" s="22"/>
      <x:c r="S13" s="22"/>
      <x:c r="T13" s="22"/>
    </x:row>
    <x:row r="14" ht="26" customHeight="1">
      <x:c r="A14" s="12" t="str">
        <x:v>Value/Price</x:v>
      </x:c>
      <x:c r="B14" s="12" t="str">
        <x:v>BQ09</x:v>
      </x:c>
      <x:c r="C14" s="12" t="n">
        <x:v>8</x:v>
      </x:c>
      <x:c r="D14" s="12" t="n">
        <x:v>8</x:v>
      </x:c>
      <x:c r="E14" s="12" t="str">
        <x:v>Analyst A</x:v>
      </x:c>
      <x:c r="F14" s="21"/>
      <x:c r="G14" s="21"/>
      <x:c r="H14" s="21"/>
      <x:c r="I14" s="21"/>
      <x:c r="J14" s="21"/>
      <x:c r="K14" s="21"/>
      <x:c r="L14" s="21"/>
      <x:c r="M14" s="23" t="str">
        <x:v>BQ09</x:v>
      </x:c>
      <x:c r="N14" s="21"/>
      <x:c r="O14" s="21"/>
      <x:c r="P14" s="21"/>
      <x:c r="Q14" s="21"/>
      <x:c r="R14" s="21"/>
      <x:c r="S14" s="21"/>
      <x:c r="T14" s="21"/>
    </x:row>
    <x:row r="15" ht="26" customHeight="1">
      <x:c r="A15" s="2" t="str">
        <x:v>Value/Price</x:v>
      </x:c>
      <x:c r="B15" s="2" t="str">
        <x:v>BQ10</x:v>
      </x:c>
      <x:c r="C15" s="2" t="n">
        <x:v>8</x:v>
      </x:c>
      <x:c r="D15" s="2" t="n">
        <x:v>8</x:v>
      </x:c>
      <x:c r="E15" s="2" t="str">
        <x:v>Analyst A</x:v>
      </x:c>
      <x:c r="F15" s="22"/>
      <x:c r="G15" s="22"/>
      <x:c r="H15" s="22"/>
      <x:c r="I15" s="22"/>
      <x:c r="J15" s="22"/>
      <x:c r="K15" s="22"/>
      <x:c r="L15" s="22"/>
      <x:c r="M15" s="23" t="str">
        <x:v>BQ10</x:v>
      </x:c>
      <x:c r="N15" s="22"/>
      <x:c r="O15" s="22"/>
      <x:c r="P15" s="22"/>
      <x:c r="Q15" s="22"/>
      <x:c r="R15" s="22"/>
      <x:c r="S15" s="22"/>
      <x:c r="T15" s="22"/>
    </x:row>
    <x:row r="16" ht="26" customHeight="1">
      <x:c r="A16" s="12" t="str">
        <x:v>Credit/Fairness</x:v>
      </x:c>
      <x:c r="B16" s="12" t="str">
        <x:v>BQ11</x:v>
      </x:c>
      <x:c r="C16" s="12" t="n">
        <x:v>7</x:v>
      </x:c>
      <x:c r="D16" s="12" t="n">
        <x:v>8</x:v>
      </x:c>
      <x:c r="E16" s="12" t="str">
        <x:v>Analyst B</x:v>
      </x:c>
      <x:c r="F16" s="21"/>
      <x:c r="G16" s="21"/>
      <x:c r="H16" s="21"/>
      <x:c r="I16" s="21"/>
      <x:c r="J16" s="21"/>
      <x:c r="K16" s="21"/>
      <x:c r="L16" s="24" t="str">
        <x:v>BQ11</x:v>
      </x:c>
      <x:c r="M16" s="24" t="str">
        <x:v>BQ11</x:v>
      </x:c>
      <x:c r="N16" s="21"/>
      <x:c r="O16" s="21"/>
      <x:c r="P16" s="21"/>
      <x:c r="Q16" s="21"/>
      <x:c r="R16" s="21"/>
      <x:c r="S16" s="21"/>
      <x:c r="T16" s="21"/>
    </x:row>
    <x:row r="17" ht="26" customHeight="1">
      <x:c r="A17" s="2" t="str">
        <x:v>Usage</x:v>
      </x:c>
      <x:c r="B17" s="2" t="str">
        <x:v>BQ12</x:v>
      </x:c>
      <x:c r="C17" s="2" t="n">
        <x:v>3</x:v>
      </x:c>
      <x:c r="D17" s="2" t="n">
        <x:v>3</x:v>
      </x:c>
      <x:c r="E17" s="2" t="str">
        <x:v>Analyst B</x:v>
      </x:c>
      <x:c r="F17" s="22"/>
      <x:c r="G17" s="22"/>
      <x:c r="H17" s="24" t="str">
        <x:v>BQ12</x:v>
      </x:c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</x:row>
    <x:row r="18" ht="26" customHeight="1">
      <x:c r="A18" s="12" t="str">
        <x:v>Behavior change</x:v>
      </x:c>
      <x:c r="B18" s="12" t="str">
        <x:v>BQ13</x:v>
      </x:c>
      <x:c r="C18" s="12" t="n">
        <x:v>4</x:v>
      </x:c>
      <x:c r="D18" s="12" t="n">
        <x:v>4</x:v>
      </x:c>
      <x:c r="E18" s="12" t="str">
        <x:v>Analyst B</x:v>
      </x:c>
      <x:c r="F18" s="21"/>
      <x:c r="G18" s="21"/>
      <x:c r="H18" s="21"/>
      <x:c r="I18" s="24" t="str">
        <x:v>BQ13</x:v>
      </x:c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</x:row>
    <x:row r="19" ht="26" customHeight="1">
      <x:c r="A19" s="2" t="str">
        <x:v>Behavior change</x:v>
      </x:c>
      <x:c r="B19" s="2" t="str">
        <x:v>BQ14</x:v>
      </x:c>
      <x:c r="C19" s="2" t="n">
        <x:v>5</x:v>
      </x:c>
      <x:c r="D19" s="2" t="n">
        <x:v>5</x:v>
      </x:c>
      <x:c r="E19" s="2" t="str">
        <x:v>Analyst B</x:v>
      </x:c>
      <x:c r="F19" s="22"/>
      <x:c r="G19" s="22"/>
      <x:c r="H19" s="22"/>
      <x:c r="I19" s="22"/>
      <x:c r="J19" s="24" t="str">
        <x:v>BQ14</x:v>
      </x:c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</x:row>
    <x:row r="20" ht="26" customHeight="1">
      <x:c r="A20" s="12" t="str">
        <x:v>Behavior change</x:v>
      </x:c>
      <x:c r="B20" s="12" t="str">
        <x:v>BQ15</x:v>
      </x:c>
      <x:c r="C20" s="12" t="n">
        <x:v>6</x:v>
      </x:c>
      <x:c r="D20" s="12" t="n">
        <x:v>6</x:v>
      </x:c>
      <x:c r="E20" s="12" t="str">
        <x:v>Analyst B</x:v>
      </x:c>
      <x:c r="F20" s="21"/>
      <x:c r="G20" s="21"/>
      <x:c r="H20" s="21"/>
      <x:c r="I20" s="21"/>
      <x:c r="J20" s="21"/>
      <x:c r="K20" s="24" t="str">
        <x:v>BQ15</x:v>
      </x:c>
      <x:c r="L20" s="21"/>
      <x:c r="M20" s="21"/>
      <x:c r="N20" s="21"/>
      <x:c r="O20" s="21"/>
      <x:c r="P20" s="21"/>
      <x:c r="Q20" s="21"/>
      <x:c r="R20" s="21"/>
      <x:c r="S20" s="21"/>
      <x:c r="T20" s="21"/>
    </x:row>
    <x:row r="21" ht="26" customHeight="1">
      <x:c r="A21" s="2" t="str">
        <x:v>Feature evidence</x:v>
      </x:c>
      <x:c r="B21" s="2" t="str">
        <x:v>BQ16</x:v>
      </x:c>
      <x:c r="C21" s="2" t="n">
        <x:v>9</x:v>
      </x:c>
      <x:c r="D21" s="2" t="n">
        <x:v>10</x:v>
      </x:c>
      <x:c r="E21" s="2" t="str">
        <x:v>Analyst A</x:v>
      </x:c>
      <x:c r="F21" s="22"/>
      <x:c r="G21" s="22"/>
      <x:c r="H21" s="22"/>
      <x:c r="I21" s="22"/>
      <x:c r="J21" s="22"/>
      <x:c r="K21" s="22"/>
      <x:c r="L21" s="22"/>
      <x:c r="M21" s="22"/>
      <x:c r="N21" s="23" t="str">
        <x:v>BQ16</x:v>
      </x:c>
      <x:c r="O21" s="23" t="str">
        <x:v>BQ16</x:v>
      </x:c>
      <x:c r="P21" s="22"/>
      <x:c r="Q21" s="22"/>
      <x:c r="R21" s="22"/>
      <x:c r="S21" s="22"/>
      <x:c r="T21" s="22"/>
    </x:row>
    <x:row r="22" ht="26" customHeight="1">
      <x:c r="A22" s="12" t="str">
        <x:v>Model</x:v>
      </x:c>
      <x:c r="B22" s="12" t="str">
        <x:v>BQ17</x:v>
      </x:c>
      <x:c r="C22" s="12" t="n">
        <x:v>9</x:v>
      </x:c>
      <x:c r="D22" s="12" t="n">
        <x:v>11</x:v>
      </x:c>
      <x:c r="E22" s="12" t="str">
        <x:v>Analyst B</x:v>
      </x:c>
      <x:c r="F22" s="21"/>
      <x:c r="G22" s="21"/>
      <x:c r="H22" s="21"/>
      <x:c r="I22" s="21"/>
      <x:c r="J22" s="21"/>
      <x:c r="K22" s="21"/>
      <x:c r="L22" s="21"/>
      <x:c r="M22" s="21"/>
      <x:c r="N22" s="24" t="str">
        <x:v>BQ17</x:v>
      </x:c>
      <x:c r="O22" s="24" t="str">
        <x:v>BQ17</x:v>
      </x:c>
      <x:c r="P22" s="24" t="str">
        <x:v>BQ17</x:v>
      </x:c>
      <x:c r="Q22" s="21"/>
      <x:c r="R22" s="21"/>
      <x:c r="S22" s="21"/>
      <x:c r="T22" s="21"/>
    </x:row>
    <x:row r="23" ht="26" customHeight="1">
      <x:c r="A23" s="2" t="str">
        <x:v>Prioritization</x:v>
      </x:c>
      <x:c r="B23" s="2" t="str">
        <x:v>BQ18</x:v>
      </x:c>
      <x:c r="C23" s="2" t="n">
        <x:v>11</x:v>
      </x:c>
      <x:c r="D23" s="2" t="n">
        <x:v>12</x:v>
      </x:c>
      <x:c r="E23" s="2" t="str">
        <x:v>Analyst A</x:v>
      </x:c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3" t="str">
        <x:v>BQ18</x:v>
      </x:c>
      <x:c r="Q23" s="23" t="str">
        <x:v>BQ18</x:v>
      </x:c>
      <x:c r="R23" s="22"/>
      <x:c r="S23" s="22"/>
      <x:c r="T23" s="22"/>
    </x:row>
    <x:row r="24" ht="26" customHeight="1">
      <x:c r="A24" s="12" t="str">
        <x:v>Policy</x:v>
      </x:c>
      <x:c r="B24" s="12" t="str">
        <x:v>BQ19</x:v>
      </x:c>
      <x:c r="C24" s="12" t="n">
        <x:v>12</x:v>
      </x:c>
      <x:c r="D24" s="12" t="n">
        <x:v>13</x:v>
      </x:c>
      <x:c r="E24" s="12" t="str">
        <x:v>Shared</x:v>
      </x:c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5" t="str">
        <x:v>BQ19</x:v>
      </x:c>
      <x:c r="R24" s="25" t="str">
        <x:v>BQ19</x:v>
      </x:c>
      <x:c r="S24" s="21"/>
      <x:c r="T24" s="21"/>
    </x:row>
    <x:row r="25" ht="26" customHeight="1">
      <x:c r="A25" s="2" t="str">
        <x:v>Experiment</x:v>
      </x:c>
      <x:c r="B25" s="2" t="str">
        <x:v>BQ20</x:v>
      </x:c>
      <x:c r="C25" s="2" t="n">
        <x:v>14</x:v>
      </x:c>
      <x:c r="D25" s="2" t="n">
        <x:v>14</x:v>
      </x:c>
      <x:c r="E25" s="2" t="str">
        <x:v>Shared</x:v>
      </x:c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5" t="str">
        <x:v>BQ20</x:v>
      </x:c>
      <x:c r="T25" s="22"/>
    </x:row>
    <x:row r="26" ht="26" customHeight="1">
      <x:c r="A26" s="12" t="str">
        <x:v>Integration</x:v>
      </x:c>
      <x:c r="B26" s="12" t="str">
        <x:v>Final story &amp; QA</x:v>
      </x:c>
      <x:c r="C26" s="12" t="n">
        <x:v>15</x:v>
      </x:c>
      <x:c r="D26" s="12" t="n">
        <x:v>15</x:v>
      </x:c>
      <x:c r="E26" s="12" t="str">
        <x:v>Shared</x:v>
      </x:c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5" t="str">
        <x:v>QA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6A6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17" hidden="0" customWidth="1"/>
    <x:col min="5" max="5" width="18" hidden="0" customWidth="1"/>
    <x:col min="6" max="6" width="22" hidden="0" customWidth="1"/>
    <x:col min="7" max="7" width="18" hidden="0" customWidth="1"/>
    <x:col min="8" max="8" width="26" hidden="0" customWidth="1"/>
    <x:col min="9" max="9" width="38" hidden="0" customWidth="1"/>
    <x:col min="10" max="10" width="16" hidden="0" customWidth="1"/>
    <x:col min="11" max="11" width="3" hidden="0" customWidth="1"/>
    <x:col min="12" max="12" width="5" hidden="0" customWidth="1"/>
    <x:col min="13" max="13" width="25" hidden="0" customWidth="1"/>
    <x:col min="14" max="14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Progress Tracker — BQ, Evidence, Policy and Feature Contract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 t="str">
        <x:v>Chỉ cập nhật Status, Completion %, Evidence status và Policy status trong BQ REGISTER. Các KPI bên dưới liên kết tới register.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7" t="str">
        <x:v>Metric</x:v>
      </x:c>
      <x:c r="B5" s="28" t="str">
        <x:v>Current</x:v>
      </x:c>
      <x:c r="C5" s="28" t="str">
        <x:v>Target</x:v>
      </x:c>
      <x:c r="D5" s="29" t="str">
        <x:v>Completion</x:v>
      </x:c>
      <x:c r="E5" s="14"/>
      <x:c r="F5" s="27" t="str">
        <x:v>Gate</x:v>
      </x:c>
      <x:c r="G5" s="28" t="str">
        <x:v>Planned day</x:v>
      </x:c>
      <x:c r="H5" s="28" t="str">
        <x:v>Purpose</x:v>
      </x:c>
      <x:c r="I5" s="28" t="str">
        <x:v>Exit criteria</x:v>
      </x:c>
      <x:c r="J5" s="29" t="str">
        <x:v>Status</x:v>
      </x:c>
      <x:c r="K5" s="14"/>
      <x:c r="L5" s="27" t="str">
        <x:v>#</x:v>
      </x:c>
      <x:c r="M5" s="28" t="str">
        <x:v>Base feature</x:v>
      </x:c>
      <x:c r="N5" s="29" t="str">
        <x:v>Analysis role</x:v>
      </x:c>
    </x:row>
    <x:row r="6" ht="38" customHeight="1">
      <x:c r="A6" s="61" t="str">
        <x:v>Total BQ</x:v>
      </x:c>
      <x:c r="B6" s="13" t="n">
        <x:f>COUNTA('BQ REGISTER'!A6:A25)</x:f>
        <x:v>20</x:v>
      </x:c>
      <x:c r="C6" s="13" t="n">
        <x:v>20</x:v>
      </x:c>
      <x:c r="D6" s="62" t="n">
        <x:f>B6/C6</x:f>
        <x:v>1</x:v>
      </x:c>
      <x:c r="E6" s="14"/>
      <x:c r="F6" s="63" t="str">
        <x:v>G1</x:v>
      </x:c>
      <x:c r="G6" s="64" t="str">
        <x:v>D2</x:v>
      </x:c>
      <x:c r="H6" s="64" t="str">
        <x:v>Data lock</x:v>
      </x:c>
      <x:c r="I6" s="64" t="str">
        <x:v>Cohort, target, metric và 10-feature contract khóa</x:v>
      </x:c>
      <x:c r="J6" s="65" t="str">
        <x:v>Not Started</x:v>
      </x:c>
      <x:c r="K6" s="14"/>
      <x:c r="L6" s="66" t="n">
        <x:v>1</x:v>
      </x:c>
      <x:c r="M6" s="67" t="str">
        <x:v>MonthsInService</x:v>
      </x:c>
      <x:c r="N6" s="68" t="str">
        <x:v>Lifecycle timing</x:v>
      </x:c>
    </x:row>
    <x:row r="7" ht="38" customHeight="1">
      <x:c r="A7" s="61" t="str">
        <x:v>Completed</x:v>
      </x:c>
      <x:c r="B7" s="13" t="n">
        <x:f>COUNTIFS('BQ REGISTER'!P6:P25,"Done")</x:f>
        <x:v>0</x:v>
      </x:c>
      <x:c r="C7" s="13" t="n">
        <x:v>20</x:v>
      </x:c>
      <x:c r="D7" s="62" t="n">
        <x:f>B7/C7</x:f>
        <x:v>0</x:v>
      </x:c>
      <x:c r="E7" s="14"/>
      <x:c r="F7" s="63" t="str">
        <x:v>G2</x:v>
      </x:c>
      <x:c r="G7" s="64" t="str">
        <x:v>D6</x:v>
      </x:c>
      <x:c r="H7" s="64" t="str">
        <x:v>Descriptive evidence</x:v>
      </x:c>
      <x:c r="I7" s="64" t="str">
        <x:v>Lifecycle/device/usage có count, CI và sensitivity</x:v>
      </x:c>
      <x:c r="J7" s="65" t="str">
        <x:v>Not Started</x:v>
      </x:c>
      <x:c r="K7" s="14"/>
      <x:c r="L7" s="66" t="n">
        <x:v>2</x:v>
      </x:c>
      <x:c r="M7" s="67" t="str">
        <x:v>CurrentEquipmentDays</x:v>
      </x:c>
      <x:c r="N7" s="68" t="str">
        <x:v>Device age proxy</x:v>
      </x:c>
    </x:row>
    <x:row r="8" ht="38" customHeight="1">
      <x:c r="A8" s="61" t="str">
        <x:v>Overall BQ completion</x:v>
      </x:c>
      <x:c r="B8" s="17" t="n">
        <x:f>AVERAGE('BQ REGISTER'!Q6:Q25)</x:f>
        <x:v>0</x:v>
      </x:c>
      <x:c r="C8" s="17" t="n">
        <x:v>1</x:v>
      </x:c>
      <x:c r="D8" s="62" t="n">
        <x:f>B8/C8</x:f>
        <x:v>0</x:v>
      </x:c>
      <x:c r="E8" s="14"/>
      <x:c r="F8" s="63" t="str">
        <x:v>G3</x:v>
      </x:c>
      <x:c r="G8" s="64" t="str">
        <x:v>D8</x:v>
      </x:c>
      <x:c r="H8" s="64" t="str">
        <x:v>Segment logic</x:v>
      </x:c>
      <x:c r="I8" s="64" t="str">
        <x:v>Financial/behavior reason-code hypotheses rõ</x:v>
      </x:c>
      <x:c r="J8" s="65" t="str">
        <x:v>Not Started</x:v>
      </x:c>
      <x:c r="K8" s="14"/>
      <x:c r="L8" s="66" t="n">
        <x:v>3</x:v>
      </x:c>
      <x:c r="M8" s="67" t="str">
        <x:v>HandsetWebCapable</x:v>
      </x:c>
      <x:c r="N8" s="68" t="str">
        <x:v>Device capability</x:v>
      </x:c>
    </x:row>
    <x:row r="9" ht="38" customHeight="1">
      <x:c r="A9" s="61" t="str">
        <x:v>Must-have completed</x:v>
      </x:c>
      <x:c r="B9" s="13" t="n">
        <x:f>COUNTIFS('BQ REGISTER'!D6:D25,"Must-have",'BQ REGISTER'!P6:P25,"Done")</x:f>
        <x:v>0</x:v>
      </x:c>
      <x:c r="C9" s="13" t="n">
        <x:f>COUNTIFS('BQ REGISTER'!D6:D25,"Must-have")</x:f>
        <x:v>19</x:v>
      </x:c>
      <x:c r="D9" s="62" t="n">
        <x:f>B9/C9</x:f>
        <x:v>0</x:v>
      </x:c>
      <x:c r="E9" s="14"/>
      <x:c r="F9" s="63" t="str">
        <x:v>G4</x:v>
      </x:c>
      <x:c r="G9" s="64" t="str">
        <x:v>D11</x:v>
      </x:c>
      <x:c r="H9" s="64" t="str">
        <x:v>Model acceptance</x:v>
      </x:c>
      <x:c r="I9" s="64" t="str">
        <x:v>OOF loss, calibration và lift@capacity đạt yêu cầu</x:v>
      </x:c>
      <x:c r="J9" s="65" t="str">
        <x:v>Not Started</x:v>
      </x:c>
      <x:c r="K9" s="14"/>
      <x:c r="L9" s="66" t="n">
        <x:v>4</x:v>
      </x:c>
      <x:c r="M9" s="67" t="str">
        <x:v>MonthlyRevenue</x:v>
      </x:c>
      <x:c r="N9" s="68" t="str">
        <x:v>Value proxy</x:v>
      </x:c>
    </x:row>
    <x:row r="10" ht="38" customHeight="1">
      <x:c r="A10" s="61" t="str">
        <x:v>Evidence validated</x:v>
      </x:c>
      <x:c r="B10" s="13" t="n">
        <x:f>COUNTIFS('BQ REGISTER'!R6:R25,"Validated")</x:f>
        <x:v>0</x:v>
      </x:c>
      <x:c r="C10" s="13" t="n">
        <x:v>20</x:v>
      </x:c>
      <x:c r="D10" s="62" t="n">
        <x:f>B10/C10</x:f>
        <x:v>0</x:v>
      </x:c>
      <x:c r="E10" s="14"/>
      <x:c r="F10" s="63" t="str">
        <x:v>G5</x:v>
      </x:c>
      <x:c r="G10" s="64" t="str">
        <x:v>D13</x:v>
      </x:c>
      <x:c r="H10" s="64" t="str">
        <x:v>Policy readiness</x:v>
      </x:c>
      <x:c r="I10" s="64" t="str">
        <x:v>Segment, treatment, exclusion và assumptions khóa</x:v>
      </x:c>
      <x:c r="J10" s="65" t="str">
        <x:v>Not Started</x:v>
      </x:c>
      <x:c r="K10" s="14"/>
      <x:c r="L10" s="66" t="n">
        <x:v>5</x:v>
      </x:c>
      <x:c r="M10" s="67" t="str">
        <x:v>TotalRecurringCharge</x:v>
      </x:c>
      <x:c r="N10" s="68" t="str">
        <x:v>Recurring price burden</x:v>
      </x:c>
    </x:row>
    <x:row r="11" ht="38" customHeight="1">
      <x:c r="A11" s="69" t="str">
        <x:v>Policy BQs ready</x:v>
      </x:c>
      <x:c r="B11" s="70" t="n">
        <x:f>COUNTIFS('BQ REGISTER'!S6:S25,"Ready")</x:f>
        <x:v>0</x:v>
      </x:c>
      <x:c r="C11" s="70" t="n">
        <x:v>2</x:v>
      </x:c>
      <x:c r="D11" s="71" t="n">
        <x:f>B11/C11</x:f>
        <x:v>0</x:v>
      </x:c>
      <x:c r="E11" s="14"/>
      <x:c r="F11" s="72" t="str">
        <x:v>G6</x:v>
      </x:c>
      <x:c r="G11" s="73" t="str">
        <x:v>D15</x:v>
      </x:c>
      <x:c r="H11" s="73" t="str">
        <x:v>Pilot readiness</x:v>
      </x:c>
      <x:c r="I11" s="73" t="str">
        <x:v>Experiment, capture, monitoring và owner phê duyệt</x:v>
      </x:c>
      <x:c r="J11" s="74" t="str">
        <x:v>Not Started</x:v>
      </x:c>
      <x:c r="K11" s="14"/>
      <x:c r="L11" s="66" t="n">
        <x:v>6</x:v>
      </x:c>
      <x:c r="M11" s="67" t="str">
        <x:v>CreditRating</x:v>
      </x:c>
      <x:c r="N11" s="68" t="str">
        <x:v>Credit segment / fairness</x:v>
      </x:c>
    </x:row>
    <x:row r="12" ht="38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66" t="n">
        <x:v>7</x:v>
      </x:c>
      <x:c r="M12" s="67" t="str">
        <x:v>MonthlyMinutes</x:v>
      </x:c>
      <x:c r="N12" s="68" t="str">
        <x:v>Usage level</x:v>
      </x:c>
    </x:row>
    <x:row r="13" ht="38" customHeight="1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66" t="n">
        <x:v>8</x:v>
      </x:c>
      <x:c r="M13" s="67" t="str">
        <x:v>PercChangeMinutes</x:v>
      </x:c>
      <x:c r="N13" s="68" t="str">
        <x:v>Usage trend</x:v>
      </x:c>
    </x:row>
    <x:row r="14" ht="44" customHeight="1">
      <x:c r="A14" s="27" t="str">
        <x:v>Policy hypothesis</x:v>
      </x:c>
      <x:c r="B14" s="28" t="str">
        <x:v>Required evidence</x:v>
      </x:c>
      <x:c r="C14" s="28" t="str">
        <x:v>Treatment to test</x:v>
      </x:c>
      <x:c r="D14" s="28" t="str">
        <x:v>Control</x:v>
      </x:c>
      <x:c r="E14" s="28" t="str">
        <x:v>Primary KPI</x:v>
      </x:c>
      <x:c r="F14" s="28" t="str">
        <x:v>Guardrail</x:v>
      </x:c>
      <x:c r="G14" s="29" t="str">
        <x:v>Status</x:v>
      </x:c>
      <x:c r="H14" s="14"/>
      <x:c r="I14" s="14"/>
      <x:c r="J14" s="14"/>
      <x:c r="K14" s="14"/>
      <x:c r="L14" s="66" t="n">
        <x:v>9</x:v>
      </x:c>
      <x:c r="M14" s="67" t="str">
        <x:v>PercChangeRevenues</x:v>
      </x:c>
      <x:c r="N14" s="68" t="str">
        <x:v>Spend trend</x:v>
      </x:c>
    </x:row>
    <x:row r="15" ht="54" customHeight="1">
      <x:c r="A15" s="75" t="str">
        <x:v>Lifecycle risk</x:v>
      </x:c>
      <x:c r="B15" s="76" t="str">
        <x:v>BQ04–BQ05</x:v>
      </x:c>
      <x:c r="C15" s="76" t="str">
        <x:v>Check-in; bill/plan explanation</x:v>
      </x:c>
      <x:c r="D15" s="76" t="str">
        <x:v>Eligible BAU</x:v>
      </x:c>
      <x:c r="E15" s="76" t="str">
        <x:v>Incremental churn reduction</x:v>
      </x:c>
      <x:c r="F15" s="76" t="str">
        <x:v>Contact fatigue; offer cost</x:v>
      </x:c>
      <x:c r="G15" s="77" t="str">
        <x:v>Draft</x:v>
      </x:c>
      <x:c r="H15" s="14"/>
      <x:c r="I15" s="14"/>
      <x:c r="J15" s="14"/>
      <x:c r="K15" s="14"/>
      <x:c r="L15" s="78" t="n">
        <x:v>10</x:v>
      </x:c>
      <x:c r="M15" s="79" t="str">
        <x:v>PeakCallsInOut</x:v>
      </x:c>
      <x:c r="N15" s="80" t="str">
        <x:v>Peak usage pattern</x:v>
      </x:c>
    </x:row>
    <x:row r="16" ht="54" customHeight="1">
      <x:c r="A16" s="75" t="str">
        <x:v>Device friction</x:v>
      </x:c>
      <x:c r="B16" s="76" t="str">
        <x:v>BQ06–BQ07</x:v>
      </x:c>
      <x:c r="C16" s="76" t="str">
        <x:v>Upgrade/trade-in hoặc education</x:v>
      </x:c>
      <x:c r="D16" s="76" t="str">
        <x:v>Eligible BAU</x:v>
      </x:c>
      <x:c r="E16" s="76" t="str">
        <x:v>Incremental retention</x:v>
      </x:c>
      <x:c r="F16" s="76" t="str">
        <x:v>Subsidy cost; complaints</x:v>
      </x:c>
      <x:c r="G16" s="77" t="str">
        <x:v>Draft</x:v>
      </x:c>
      <x:c r="H16" s="14"/>
      <x:c r="I16" s="14"/>
      <x:c r="J16" s="14"/>
      <x:c r="K16" s="14"/>
      <x:c r="L16" s="14"/>
      <x:c r="M16" s="14"/>
      <x:c r="N16" s="14"/>
    </x:row>
    <x:row r="17" ht="54" customHeight="1">
      <x:c r="A17" s="75" t="str">
        <x:v>Price/plan mismatch</x:v>
      </x:c>
      <x:c r="B17" s="76" t="str">
        <x:v>BQ08–BQ11</x:v>
      </x:c>
      <x:c r="C17" s="76" t="str">
        <x:v>Bill review; right-size plan; payment support</x:v>
      </x:c>
      <x:c r="D17" s="76" t="str">
        <x:v>Eligible BAU</x:v>
      </x:c>
      <x:c r="E17" s="76" t="str">
        <x:v>Retention + plan acceptance</x:v>
      </x:c>
      <x:c r="F17" s="76" t="str">
        <x:v>Revenue dilution; fairness</x:v>
      </x:c>
      <x:c r="G17" s="77" t="str">
        <x:v>Draft</x:v>
      </x:c>
      <x:c r="H17" s="14"/>
      <x:c r="I17" s="14"/>
      <x:c r="J17" s="14"/>
      <x:c r="K17" s="14"/>
      <x:c r="L17" s="14"/>
      <x:c r="M17" s="14"/>
      <x:c r="N17" s="14"/>
    </x:row>
    <x:row r="18" ht="54" customHeight="1">
      <x:c r="A18" s="75" t="str">
        <x:v>Behavioral decline</x:v>
      </x:c>
      <x:c r="B18" s="76" t="str">
        <x:v>BQ12–BQ15</x:v>
      </x:c>
      <x:c r="C18" s="76" t="str">
        <x:v>Re-engagement hoặc plan review</x:v>
      </x:c>
      <x:c r="D18" s="76" t="str">
        <x:v>Eligible BAU</x:v>
      </x:c>
      <x:c r="E18" s="76" t="str">
        <x:v>Retention + usage recovery</x:v>
      </x:c>
      <x:c r="F18" s="76" t="str">
        <x:v>Opt-out; spam</x:v>
      </x:c>
      <x:c r="G18" s="77" t="str">
        <x:v>Draft</x:v>
      </x:c>
      <x:c r="H18" s="14"/>
      <x:c r="I18" s="14"/>
      <x:c r="J18" s="14"/>
      <x:c r="K18" s="14"/>
      <x:c r="L18" s="14"/>
      <x:c r="M18" s="14"/>
      <x:c r="N18" s="14"/>
    </x:row>
    <x:row r="19" ht="54" customHeight="1">
      <x:c r="A19" s="75" t="str">
        <x:v>High risk/high value</x:v>
      </x:c>
      <x:c r="B19" s="76" t="str">
        <x:v>BQ17–BQ18</x:v>
      </x:c>
      <x:c r="C19" s="76" t="str">
        <x:v>Priority care/service review</x:v>
      </x:c>
      <x:c r="D19" s="76" t="str">
        <x:v>Same-value BAU</x:v>
      </x:c>
      <x:c r="E19" s="76" t="str">
        <x:v>Retained value proxy</x:v>
      </x:c>
      <x:c r="F19" s="76" t="str">
        <x:v>Cost per save</x:v>
      </x:c>
      <x:c r="G19" s="77" t="str">
        <x:v>Draft</x:v>
      </x:c>
      <x:c r="H19" s="14"/>
      <x:c r="I19" s="14"/>
      <x:c r="J19" s="14"/>
      <x:c r="K19" s="14"/>
      <x:c r="L19" s="14"/>
      <x:c r="M19" s="14"/>
      <x:c r="N19" s="14"/>
    </x:row>
    <x:row r="20" ht="54" customHeight="1">
      <x:c r="A20" s="81" t="str">
        <x:v>Pilot and scale</x:v>
      </x:c>
      <x:c r="B20" s="82" t="str">
        <x:v>BQ19–BQ20</x:v>
      </x:c>
      <x:c r="C20" s="82" t="str">
        <x:v>Randomized treatment portfolio</x:v>
      </x:c>
      <x:c r="D20" s="82" t="str">
        <x:v>Eligible control</x:v>
      </x:c>
      <x:c r="E20" s="82" t="str">
        <x:v>ITT churn reduction</x:v>
      </x:c>
      <x:c r="F20" s="82" t="str">
        <x:v>Cost, complaints, drift/fairness</x:v>
      </x:c>
      <x:c r="G20" s="83" t="str">
        <x:v>Draft</x:v>
      </x:c>
      <x:c r="H20" s="14"/>
      <x:c r="I20" s="14"/>
      <x:c r="J20" s="14"/>
      <x:c r="K20" s="14"/>
      <x:c r="L20" s="14"/>
      <x:c r="M20" s="14"/>
      <x:c r="N20" s="14"/>
    </x:row>
  </x:sheetData>
  <x:conditionalFormatting sqref="J6:J11">
    <x:cfRule type="containsText" dxfId="8" priority="1" operator="containsText" text="Done"/>
    <x:cfRule type="containsText" dxfId="9" priority="2" operator="containsText" text="In Progress"/>
    <x:cfRule type="containsText" dxfId="10" priority="3" operator="containsText" text="Blocked"/>
  </x:conditionalFormatting>
  <x:conditionalFormatting sqref="G15:G20">
    <x:cfRule type="containsText" dxfId="11" priority="4" operator="containsText" text="Done"/>
    <x:cfRule type="containsText" dxfId="12" priority="5" operator="containsText" text="In Progress"/>
    <x:cfRule type="containsText" dxfId="13" priority="6" operator="containsText" text="Blocked"/>
  </x:conditionalFormatting>
  <x:dataValidations count="2">
    <x:dataValidation type="list" sqref="J6:J11">
      <x:formula1>"Not Started,In Progress,Blocked,Done"</x:formula1>
    </x:dataValidation>
    <x:dataValidation type="list" sqref="G15:G20">
      <x:formula1>"Draft,Ready,Testing,Done"</x:formula1>
    </x:dataValidation>
  </x:dataValidations>
  <x:pageMargins left="0.7" right="0.7" top="0.75" bottom="0.75" header="0.3" footer="0.3"/>
</x:worksheet>
</file>