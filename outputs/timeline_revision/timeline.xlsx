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aebedb23424f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ROADMAP" sheetId="1" r:id="R4376bbc52a5b480a"/>
    <x:sheet xmlns:r="http://schemas.openxmlformats.org/officeDocument/2006/relationships" name="BQ REGISTER" sheetId="2" r:id="R1aebce854dfc4bdb"/>
    <x:sheet xmlns:r="http://schemas.openxmlformats.org/officeDocument/2006/relationships" name="GANTT CHART" sheetId="3" r:id="R9fb4b1d109b04063"/>
    <x:sheet xmlns:r="http://schemas.openxmlformats.org/officeDocument/2006/relationships" name="PROGRESS TRACKER" sheetId="4" r:id="Rdfd5b9fee15d4a76"/>
  </x:sheets>
</x:workbook>
</file>

<file path=xl/sharedStrings.xml><?xml version="1.0" encoding="utf-8"?>
<x:sst xmlns:x="http://schemas.openxmlformats.org/spreadsheetml/2006/main">
  <x:si>
    <x:t xml:space="preserve">Cell2Cell Churn &amp; Retention — 15-Day Roadmap</x:t>
  </x:si>
  <x:si>
    <x:t xml:space="preserve">Week</x:t>
  </x:si>
  <x:si>
    <x:t xml:space="preserve">Day</x:t>
  </x:si>
  <x:si>
    <x:t xml:space="preserve">Story act</x:t>
  </x:si>
  <x:si>
    <x:t xml:space="preserve">Daily objective</x:t>
  </x:si>
  <x:si>
    <x:t xml:space="preserve">Analyst A – BQ</x:t>
  </x:si>
  <x:si>
    <x:t xml:space="preserve">Analyst A – work</x:t>
  </x:si>
  <x:si>
    <x:t xml:space="preserve">Analyst A – deliverable</x:t>
  </x:si>
  <x:si>
    <x:t xml:space="preserve">Analyst B – BQ</x:t>
  </x:si>
  <x:si>
    <x:t xml:space="preserve">Analyst B – work</x:t>
  </x:si>
  <x:si>
    <x:t xml:space="preserve">Analyst B – deliverable</x:t>
  </x:si>
  <x:si>
    <x:t xml:space="preserve">Decision gate / milestone</x:t>
  </x:si>
  <x:si>
    <x:t xml:space="preserve">Dependencies</x:t>
  </x:si>
  <x:si>
    <x:t xml:space="preserve">Status</x:t>
  </x:si>
  <x:si>
    <x:t xml:space="preserve">Week 1</x:t>
  </x:si>
  <x:si>
    <x:t xml:space="preserve">Day 1</x:t>
  </x:si>
  <x:si>
    <x:t xml:space="preserve">1. Tin dữ liệu</x:t>
  </x:si>
  <x:si>
    <x:t xml:space="preserve">Khóa cohort và chuẩn bị feature audit</x:t>
  </x:si>
  <x:si>
    <x:t xml:space="preserve">BQ01</x:t>
  </x:si>
  <x:si>
    <x:t xml:space="preserve">Raw vs complete-case; missingness; exclusion log</x:t>
  </x:si>
  <x:si>
    <x:t xml:space="preserve">C01 + cohort memo</x:t>
  </x:si>
  <x:si>
    <x:t xml:space="preserve">BQ03 prep</x:t>
  </x:si>
  <x:si>
    <x:t xml:space="preserve">Schema, unit và scoring-time availability</x:t>
  </x:si>
  <x:si>
    <x:t xml:space="preserve">Feature dictionary draft</x:t>
  </x:si>
  <x:si>
    <x:t xml:space="preserve">Data reconciliation</x:t>
  </x:si>
  <x:si>
    <x:t xml:space="preserve">Data source</x:t>
  </x:si>
  <x:si>
    <x:t xml:space="preserve">Not Started</x:t>
  </x:si>
  <x:si>
    <x:t xml:space="preserve">Day 2</x:t>
  </x:si>
  <x:si>
    <x:t xml:space="preserve">Khóa baseline và feature contract</x:t>
  </x:si>
  <x:si>
    <x:t xml:space="preserve">BQ02</x:t>
  </x:si>
  <x:si>
    <x:t xml:space="preserve">Baseline churn; CI; C02 waffle</x:t>
  </x:si>
  <x:si>
    <x:t xml:space="preserve">C02 + metric dictionary</x:t>
  </x:si>
  <x:si>
    <x:t xml:space="preserve">BQ03</x:t>
  </x:si>
  <x:si>
    <x:t xml:space="preserve">10-feature readiness và timing review</x:t>
  </x:si>
  <x:si>
    <x:t xml:space="preserve">C03 + feature contract</x:t>
  </x:si>
  <x:si>
    <x:t xml:space="preserve">G1 — Data lock</x:t>
  </x:si>
  <x:si>
    <x:t xml:space="preserve">Day 3</x:t>
  </x:si>
  <x:si>
    <x:t xml:space="preserve">2. Thời điểm/thiết bị</x:t>
  </x:si>
  <x:si>
    <x:t xml:space="preserve">Lập hồ sơ tenure và mức sử dụng</x:t>
  </x:si>
  <x:si>
    <x:t xml:space="preserve">BQ04</x:t>
  </x:si>
  <x:si>
    <x:t xml:space="preserve">Monthly tenure curve; ordered cohorts</x:t>
  </x:si>
  <x:si>
    <x:t xml:space="preserve">C04 + tenure table</x:t>
  </x:si>
  <x:si>
    <x:t xml:space="preserve">BQ12</x:t>
  </x:si>
  <x:si>
    <x:t xml:space="preserve">MonthlyMinutes bands; tenure strata</x:t>
  </x:si>
  <x:si>
    <x:t xml:space="preserve">C12 + usage table</x:t>
  </x:si>
  <x:si>
    <x:t xml:space="preserve">Minimum-cell rule</x:t>
  </x:si>
  <x:si>
    <x:t xml:space="preserve">G1</x:t>
  </x:si>
  <x:si>
    <x:t xml:space="preserve">Day 4</x:t>
  </x:si>
  <x:si>
    <x:t xml:space="preserve">2 &amp; 4. Lifecycle/behavior</x:t>
  </x:si>
  <x:si>
    <x:t xml:space="preserve">BQ05</x:t>
  </x:si>
  <x:si>
    <x:t xml:space="preserve">BQ13</x:t>
  </x:si>
  <x:si>
    <x:t xml:space="preserve">PercChangeMinutes risk/reach/lead time</x:t>
  </x:si>
  <x:si>
    <x:t xml:space="preserve">C13 + trigger spec</x:t>
  </x:si>
  <x:si>
    <x:t xml:space="preserve">BQ04; BQ12</x:t>
  </x:si>
  <x:si>
    <x:t xml:space="preserve">Day 5</x:t>
  </x:si>
  <x:si>
    <x:t xml:space="preserve">2 &amp; 4. Device/behavior</x:t>
  </x:si>
  <x:si>
    <x:t xml:space="preserve">Tuổi thiết bị và revenue decline</x:t>
  </x:si>
  <x:si>
    <x:t xml:space="preserve">BQ06</x:t>
  </x:si>
  <x:si>
    <x:t xml:space="preserve">Equipment data audit; bands; churn sensitivity</x:t>
  </x:si>
  <x:si>
    <x:t xml:space="preserve">C06 + band dictionary</x:t>
  </x:si>
  <x:si>
    <x:t xml:space="preserve">BQ14</x:t>
  </x:si>
  <x:si>
    <x:t xml:space="preserve">PercChangeRevenues incremental evidence</x:t>
  </x:si>
  <x:si>
    <x:t xml:space="preserve">C14 + keep/drop decision</x:t>
  </x:si>
  <x:si>
    <x:t xml:space="preserve">Derived-field registry</x:t>
  </x:si>
  <x:si>
    <x:t xml:space="preserve">Week 2</x:t>
  </x:si>
  <x:si>
    <x:t xml:space="preserve">Day 6</x:t>
  </x:si>
  <x:si>
    <x:t xml:space="preserve">BQ07</x:t>
  </x:si>
  <x:si>
    <x:t xml:space="preserve">BQ15</x:t>
  </x:si>
  <x:si>
    <x:t xml:space="preserve">Combined signals; peak increment; stability</x:t>
  </x:si>
  <x:si>
    <x:t xml:space="preserve">C15 + reason-code rule</x:t>
  </x:si>
  <x:si>
    <x:t xml:space="preserve">BQ04–BQ06; BQ12–BQ14</x:t>
  </x:si>
  <x:si>
    <x:t xml:space="preserve">Day 7</x:t>
  </x:si>
  <x:si>
    <x:t xml:space="preserve">3. Giá trị/phí</x:t>
  </x:si>
  <x:si>
    <x:t xml:space="preserve">Value proxy và credit governance</x:t>
  </x:si>
  <x:si>
    <x:t xml:space="preserve">BQ08</x:t>
  </x:si>
  <x:si>
    <x:t xml:space="preserve">Value tiers; risk vs revenue exposure</x:t>
  </x:si>
  <x:si>
    <x:t xml:space="preserve">C08 + value dictionary</x:t>
  </x:si>
  <x:si>
    <x:t xml:space="preserve">BQ11</x:t>
  </x:si>
  <x:si>
    <x:t xml:space="preserve">Credit differences; charge/value strata; fairness</x:t>
  </x:si>
  <x:si>
    <x:t xml:space="preserve">C11 + governance note</x:t>
  </x:si>
  <x:si>
    <x:t xml:space="preserve">Risk and value separated</x:t>
  </x:si>
  <x:si>
    <x:t xml:space="preserve">BQ02–BQ03</x:t>
  </x:si>
  <x:si>
    <x:t xml:space="preserve">Day 8</x:t>
  </x:si>
  <x:si>
    <x:t xml:space="preserve">BQ09–BQ10</x:t>
  </x:si>
  <x:si>
    <x:t xml:space="preserve">Support BQ11</x:t>
  </x:si>
  <x:si>
    <x:t xml:space="preserve">Stability and policy wording review</x:t>
  </x:si>
  <x:si>
    <x:t xml:space="preserve">Validated C11</x:t>
  </x:si>
  <x:si>
    <x:t xml:space="preserve">G3 — Segment logic</x:t>
  </x:si>
  <x:si>
    <x:t xml:space="preserve">BQ08–BQ11</x:t>
  </x:si>
  <x:si>
    <x:t xml:space="preserve">Day 9</x:t>
  </x:si>
  <x:si>
    <x:t xml:space="preserve">BQ16</x:t>
  </x:si>
  <x:si>
    <x:t xml:space="preserve">BQ17 prep</x:t>
  </x:si>
  <x:si>
    <x:t xml:space="preserve">Split strategy; CatBoost depth grid; metrics</x:t>
  </x:si>
  <x:si>
    <x:t xml:space="preserve">Model design note</x:t>
  </x:si>
  <x:si>
    <x:t xml:space="preserve">BQ04–BQ15</x:t>
  </x:si>
  <x:si>
    <x:t xml:space="preserve">Day 10</x:t>
  </x:si>
  <x:si>
    <x:t xml:space="preserve">BQ17</x:t>
  </x:si>
  <x:si>
    <x:t xml:space="preserve">OOF depth tuning bằng log loss; calibration</x:t>
  </x:si>
  <x:si>
    <x:t xml:space="preserve">Draft C17 + model card</x:t>
  </x:si>
  <x:si>
    <x:t xml:space="preserve">Week 3</x:t>
  </x:si>
  <x:si>
    <x:t xml:space="preserve">Day 11</x:t>
  </x:si>
  <x:si>
    <x:t xml:space="preserve">BQ18 prep</x:t>
  </x:si>
  <x:si>
    <x:t xml:space="preserve">Lift@5/10/20%; calibration; holdout QA</x:t>
  </x:si>
  <x:si>
    <x:t xml:space="preserve">C17 + model card</x:t>
  </x:si>
  <x:si>
    <x:t xml:space="preserve">G4 — Model calibration accepted</x:t>
  </x:si>
  <x:si>
    <x:t xml:space="preserve">BQ08; BQ16–BQ17</x:t>
  </x:si>
  <x:si>
    <x:t xml:space="preserve">Day 12</x:t>
  </x:si>
  <x:si>
    <x:t xml:space="preserve">5–6. Ưu tiên/chính sách</x:t>
  </x:si>
  <x:si>
    <x:t xml:space="preserve">Khóa ưu tiên risk × value theo capacity</x:t>
  </x:si>
  <x:si>
    <x:t xml:space="preserve">BQ18</x:t>
  </x:si>
  <x:si>
    <x:t xml:space="preserve">Ma trận 2×2 risk × value; xếp hạng eligible bằng p(churn) × MonthlyRevenue; capacity 5/10/20%; đối chiếu risk-only</x:t>
  </x:si>
  <x:si>
    <x:t xml:space="preserve">C18 + ranking/segment dictionary</x:t>
  </x:si>
  <x:si>
    <x:t xml:space="preserve">BQ19</x:t>
  </x:si>
  <x:si>
    <x:t xml:space="preserve">Treatment inventory; eligibility/exclusion</x:t>
  </x:si>
  <x:si>
    <x:t xml:space="preserve">Policy matrix draft</x:t>
  </x:si>
  <x:si>
    <x:t xml:space="preserve">Priority rule approved</x:t>
  </x:si>
  <x:si>
    <x:t xml:space="preserve">Day 13</x:t>
  </x:si>
  <x:si>
    <x:t xml:space="preserve">6. Chính sách</x:t>
  </x:si>
  <x:si>
    <x:t xml:space="preserve">Capacity, threshold và economics</x:t>
  </x:si>
  <x:si>
    <x:t xml:space="preserve">Capacity curve; break-even scenarios; missing inputs</x:t>
  </x:si>
  <x:si>
    <x:t xml:space="preserve">C19 + assumptions register</x:t>
  </x:si>
  <x:si>
    <x:t xml:space="preserve">Treatment/control/channel/KPI/guardrail review</x:t>
  </x:si>
  <x:si>
    <x:t xml:space="preserve">Policy matrix final</x:t>
  </x:si>
  <x:si>
    <x:t xml:space="preserve">G5 — Policy readiness</x:t>
  </x:si>
  <x:si>
    <x:t xml:space="preserve">BQ18 + cost inputs</x:t>
  </x:si>
  <x:si>
    <x:t xml:space="preserve">Day 14</x:t>
  </x:si>
  <x:si>
    <x:t xml:space="preserve">6. Đo hiệu quả</x:t>
  </x:si>
  <x:si>
    <x:t xml:space="preserve">Thiết kế pilot và monitoring</x:t>
  </x:si>
  <x:si>
    <x:t xml:space="preserve">BQ20</x:t>
  </x:si>
  <x:si>
    <x:t xml:space="preserve">Primary KPI; outcome window; decision rules</x:t>
  </x:si>
  <x:si>
    <x:t xml:space="preserve">Experiment KPI dictionary</x:t>
  </x:si>
  <x:si>
    <x:t xml:space="preserve">Randomization; MDE; capture; drift/fairness</x:t>
  </x:si>
  <x:si>
    <x:t xml:space="preserve">C20 + experiment brief</x:t>
  </x:si>
  <x:si>
    <x:t xml:space="preserve">Pilot design review</x:t>
  </x:si>
  <x:si>
    <x:t xml:space="preserve">Day 15</x:t>
  </x:si>
  <x:si>
    <x:t xml:space="preserve">Integration</x:t>
  </x:si>
  <x:si>
    <x:t xml:space="preserve">Executive story, QA và handoff</x:t>
  </x:si>
  <x:si>
    <x:t xml:space="preserve">BQ01–BQ19</x:t>
  </x:si>
  <x:si>
    <x:t xml:space="preserve">Trace evidence → risk → segment → policy</x:t>
  </x:si>
  <x:si>
    <x:t xml:space="preserve">Final analytical pack</x:t>
  </x:si>
  <x:si>
    <x:t xml:space="preserve">Reproducibility; monitoring owner; QA</x:t>
  </x:si>
  <x:si>
    <x:t xml:space="preserve">Final experiment pack</x:t>
  </x:si>
  <x:si>
    <x:t xml:space="preserve">G6 — Pilot readiness</x:t>
  </x:si>
  <x:si>
    <x:t xml:space="preserve">All Must-have BQs</x:t>
  </x:si>
  <x:si>
    <x:t xml:space="preserve">Business Question Register — 20 Decision Questions</x:t>
  </x:si>
  <x:si>
    <x:t xml:space="preserve">BQ ID</x:t>
  </x:si>
  <x:si>
    <x:t xml:space="preserve">Owner</x:t>
  </x:si>
  <x:si>
    <x:t xml:space="preserve">Priority</x:t>
  </x:si>
  <x:si>
    <x:t xml:space="preserve">Decision objective</x:t>
  </x:si>
  <x:si>
    <x:t xml:space="preserve">Business question</x:t>
  </x:si>
  <x:si>
    <x:t xml:space="preserve">Base feature(s) — only from 10</x:t>
  </x:si>
  <x:si>
    <x:t xml:space="preserve">Target / derived / external fields</x:t>
  </x:si>
  <x:si>
    <x:t xml:space="preserve">Metrics</x:t>
  </x:si>
  <x:si>
    <x:t xml:space="preserve">Method / evidence</x:t>
  </x:si>
  <x:si>
    <x:t xml:space="preserve">Chart</x:t>
  </x:si>
  <x:si>
    <x:t xml:space="preserve">Decision / retention link</x:t>
  </x:si>
  <x:si>
    <x:t xml:space="preserve">Deliverable / acceptance</x:t>
  </x:si>
  <x:si>
    <x:t xml:space="preserve">Est. hours</x:t>
  </x:si>
  <x:si>
    <x:t xml:space="preserve">Completion %</x:t>
  </x:si>
  <x:si>
    <x:t xml:space="preserve">Evidence status</x:t>
  </x:si>
  <x:si>
    <x:t xml:space="preserve">Policy status</x:t>
  </x:si>
  <x:si>
    <x:t xml:space="preserve">Analyst A</x:t>
  </x:si>
  <x:si>
    <x:t xml:space="preserve">Must-have</x:t>
  </x:si>
  <x:si>
    <x:t xml:space="preserve">Khóa analysis cohort và ngăn bias do missingness</x:t>
  </x:si>
  <x:si>
    <x:t xml:space="preserve">Cohort phân tích có đại diện và đối soát được không?</x:t>
  </x:si>
  <x:si>
    <x:t xml:space="preserve">None</x:t>
  </x:si>
  <x:si>
    <x:t xml:space="preserve">Target: Churn; QA: missing flags, CustomerID</x:t>
  </x:si>
  <x:si>
    <x:t xml:space="preserve">Raw/retained/dropped; churn rate nhóm thiếu/đủ; duplicate/invalid</x:t>
  </x:si>
  <x:si>
    <x:t xml:space="preserve">Missingness audit; cohort waterfall; raw vs complete-case sensitivity</x:t>
  </x:si>
  <x:si>
    <x:t xml:space="preserve">C01</x:t>
  </x:si>
  <x:si>
    <x:t xml:space="preserve">Quyết định nguồn phân tích chính</x:t>
  </x:si>
  <x:si>
    <x:t xml:space="preserve">Cohort memo + exclusion log; counts reconcile</x:t>
  </x:si>
  <x:si>
    <x:t xml:space="preserve">Pending</x:t>
  </x:si>
  <x:si>
    <x:t xml:space="preserve">Not Applicable</x:t>
  </x:si>
  <x:si>
    <x:t xml:space="preserve">Khóa baseline duy nhất cho toàn dự án</x:t>
  </x:si>
  <x:si>
    <x:t xml:space="preserve">Churn lớn đến đâu và baseline có chắc chắn không?</x:t>
  </x:si>
  <x:si>
    <x:t xml:space="preserve">Target: Churn</x:t>
  </x:si>
  <x:si>
    <x:t xml:space="preserve">Eligible; churn count/rate; Wilson 95% CI</x:t>
  </x:si>
  <x:si>
    <x:t xml:space="preserve">Target QA; descriptive reconciliation</x:t>
  </x:si>
  <x:si>
    <x:t xml:space="preserve">C02</x:t>
  </x:si>
  <x:si>
    <x:t xml:space="preserve">Định cỡ vấn đề và chuẩn so sánh</x:t>
  </x:si>
  <x:si>
    <x:t xml:space="preserve">KPI + waffle; count/rate khớp tuyệt đối</x:t>
  </x:si>
  <x:si>
    <x:t xml:space="preserve">Analyst B</x:t>
  </x:si>
  <x:si>
    <x:t xml:space="preserve">Khóa data dictionary và scoring-time availability</x:t>
  </x:si>
  <x:si>
    <x:t xml:space="preserve">Mười feature có hợp lệ và sẵn có tại thời điểm scoring không?</x:t>
  </x:si>
  <x:si>
    <x:t xml:space="preserve">All 10 base features</x:t>
  </x:si>
  <x:si>
    <x:t xml:space="preserve">QA: dtype, unit, range, timing, mapping</x:t>
  </x:si>
  <x:si>
    <x:t xml:space="preserve">Coverage; invalid/outlier; mapping; availability</x:t>
  </x:si>
  <x:si>
    <x:t xml:space="preserve">Schema/range audit; timing/leakage review; unit verification</x:t>
  </x:si>
  <x:si>
    <x:t xml:space="preserve">C03</x:t>
  </x:si>
  <x:si>
    <x:t xml:space="preserve">Chỉ feature hợp lệ mới vào pipeline</x:t>
  </x:si>
  <x:si>
    <x:t xml:space="preserve">Feature contract; 10/10 có owner và policy</x:t>
  </x:si>
  <x:si>
    <x:t xml:space="preserve">Tìm cửa sổ can thiệp theo vòng đời</x:t>
  </x:si>
  <x:si>
    <x:t xml:space="preserve">Churn thay đổi thế nào theo tenure?</x:t>
  </x:si>
  <x:si>
    <x:t xml:space="preserve">MonthsInService</x:t>
  </x:si>
  <x:si>
    <x:t xml:space="preserve">Derived: TenureBand; Target: Churn</x:t>
  </x:si>
  <x:si>
    <x:t xml:space="preserve">n; churn rate/CI; difference pp; risk ratio</x:t>
  </x:si>
  <x:si>
    <x:t xml:space="preserve">Monthly curve; ordered cohorts; minimum sample rule</x:t>
  </x:si>
  <x:si>
    <x:t xml:space="preserve">C04</x:t>
  </x:si>
  <x:si>
    <x:t xml:space="preserve">Chọn lifecycle check-in window</x:t>
  </x:si>
  <x:si>
    <x:t xml:space="preserve">Tenure table + C04; bands phủ cohort đúng một lần</x:t>
  </x:si>
  <x:si>
    <x:t xml:space="preserve">C05</x:t>
  </x:si>
  <x:si>
    <x:t xml:space="preserve">Xác định device-review cohort</x:t>
  </x:si>
  <x:si>
    <x:t xml:space="preserve">Tuổi thiết bị liên quan thế nào đến churn?</x:t>
  </x:si>
  <x:si>
    <x:t xml:space="preserve">CurrentEquipmentDays</x:t>
  </x:si>
  <x:si>
    <x:t xml:space="preserve">Derived: EquipmentAgeBand; Target: Churn</x:t>
  </x:si>
  <x:si>
    <x:t xml:space="preserve">Range/outlier; rate/lift/CI; n; sensitivity</x:t>
  </x:si>
  <x:si>
    <x:t xml:space="preserve">Audit âm/outlier; quantile + business bands; tenure strata</x:t>
  </x:si>
  <x:si>
    <x:t xml:space="preserve">C06</x:t>
  </x:si>
  <x:si>
    <x:t xml:space="preserve">Chọn cohort upgrade/trade-in</x:t>
  </x:si>
  <x:si>
    <x:t xml:space="preserve">Band dictionary; derived field không tính là feature mới</x:t>
  </x:si>
  <x:si>
    <x:t xml:space="preserve">Khóa quyết định Keep / Context only / Remove cho capability</x:t>
  </x:si>
  <x:si>
    <x:t xml:space="preserve">Khả năng tương thích dịch vụ data của thiết bị còn liên quan đến churn sau khi kiểm soát tuổi thiết bị và tenure liên tục không?</x:t>
  </x:si>
  <x:si>
    <x:t xml:space="preserve">CurrentEquipmentDays; HandsetWebCapable; MonthsInService</x:t>
  </x:si>
  <x:si>
    <x:t xml:space="preserve">Target: Churn; no EquipmentAgeBand/TenureBand</x:t>
  </x:si>
  <x:si>
    <x:t xml:space="preserve">Adjusted AME/risk difference/OR + 95% CI; interaction test; bootstrap stability</x:t>
  </x:si>
  <x:si>
    <x:t xml:space="preserve">Binomial GAM/logistic splines; continuous age &amp; tenure; additive vs interaction; no bands</x:t>
  </x:si>
  <x:si>
    <x:t xml:space="preserve">C07</x:t>
  </x:si>
  <x:si>
    <x:t xml:space="preserve">Compatibility/configuration support hoặc loại khỏi policy story</x:t>
  </x:si>
  <x:si>
    <x:t xml:space="preserve">Không chia band; CI + data support + Keep/Context/Remove decision</x:t>
  </x:si>
  <x:si>
    <x:t xml:space="preserve">BQ03; BQ06</x:t>
  </x:si>
  <x:si>
    <x:t xml:space="preserve">Draft</x:t>
  </x:si>
  <x:si>
    <x:t xml:space="preserve">Tách churn risk khỏi value proxy</x:t>
  </x:si>
  <x:si>
    <x:t xml:space="preserve">Monthly revenue liên quan thế nào đến risk và value?</x:t>
  </x:si>
  <x:si>
    <x:t xml:space="preserve">MonthlyRevenue</x:t>
  </x:si>
  <x:si>
    <x:t xml:space="preserve">Derived: ValueTier; Target: Churn</x:t>
  </x:si>
  <x:si>
    <x:t xml:space="preserve">Median/IQR; rate/lift; n; revenue-at-risk proxy</x:t>
  </x:si>
  <x:si>
    <x:t xml:space="preserve">Distribution; quantiles; tail sensitivity</x:t>
  </x:si>
  <x:si>
    <x:t xml:space="preserve">C08</x:t>
  </x:si>
  <x:si>
    <x:t xml:space="preserve">Tạo value dimension cho ưu tiên</x:t>
  </x:si>
  <x:si>
    <x:t xml:space="preserve">ValueTier tái lập; không gọi MonthlyRevenue là CLV</x:t>
  </x:si>
  <x:si>
    <x:t xml:space="preserve">BQ09</x:t>
  </x:si>
  <x:si>
    <x:t xml:space="preserve">Tìm nhóm cần bill/plan review</x:t>
  </x:si>
  <x:si>
    <x:t xml:space="preserve">Phí định kỳ có quan hệ phi tuyến với churn không?</x:t>
  </x:si>
  <x:si>
    <x:t xml:space="preserve">TotalRecurringCharge; MonthlyRevenue</x:t>
  </x:si>
  <x:si>
    <x:t xml:space="preserve">Derived: ChargeBand, ValueTier; Target: Churn</x:t>
  </x:si>
  <x:si>
    <x:t xml:space="preserve">Rate/CI; median; difference pp; non-linear effect</x:t>
  </x:si>
  <x:si>
    <x:t xml:space="preserve">Bands; spline/PDP sensitivity; value strata</x:t>
  </x:si>
  <x:si>
    <x:t xml:space="preserve">C09</x:t>
  </x:si>
  <x:si>
    <x:t xml:space="preserve">Bill explanation/right-size plan candidate</x:t>
  </x:si>
  <x:si>
    <x:t xml:space="preserve">Risk và reach rõ; không suy ra tác động tăng/giảm phí</x:t>
  </x:si>
  <x:si>
    <x:t xml:space="preserve">BQ10</x:t>
  </x:si>
  <x:si>
    <x:t xml:space="preserve">Should-have</x:t>
  </x:si>
  <x:si>
    <x:t xml:space="preserve">MonthlyRevenue; TotalRecurringCharge</x:t>
  </x:si>
  <x:si>
    <x:t xml:space="preserve">Derived: RevenueChargeGap; Target: Churn</x:t>
  </x:si>
  <x:si>
    <x:t xml:space="preserve">C10</x:t>
  </x:si>
  <x:si>
    <x:t xml:space="preserve">BQ08–BQ09</x:t>
  </x:si>
  <x:si>
    <x:t xml:space="preserve">Thiết kế payment support có fairness guardrail</x:t>
  </x:si>
  <x:si>
    <x:t xml:space="preserve">Credit segment có khác biệt churn sau khi xét revenue/charge không?</x:t>
  </x:si>
  <x:si>
    <x:t xml:space="preserve">CreditRating; MonthlyRevenue; TotalRecurringCharge</x:t>
  </x:si>
  <x:si>
    <x:t xml:space="preserve">Derived: ValueTier, ChargeBand; Target: Churn</x:t>
  </x:si>
  <x:si>
    <x:t xml:space="preserve">Rate/lift/CI; disparity; within-strata effect; n</x:t>
  </x:si>
  <x:si>
    <x:t xml:space="preserve">Mapping audit; Cramér's V; strata; interaction</x:t>
  </x:si>
  <x:si>
    <x:t xml:space="preserve">C11</x:t>
  </x:si>
  <x:si>
    <x:t xml:space="preserve">Payment reminder/flexibility nếu được phép</x:t>
  </x:si>
  <x:si>
    <x:t xml:space="preserve">Fairness note; prohibited use; category mapping rõ</x:t>
  </x:si>
  <x:si>
    <x:t xml:space="preserve">4. Sử dụng/hành vi</x:t>
  </x:si>
  <x:si>
    <x:t xml:space="preserve">Xác định low-engagement cohort</x:t>
  </x:si>
  <x:si>
    <x:t xml:space="preserve">Mức sử dụng hàng tháng liên quan thế nào đến churn?</x:t>
  </x:si>
  <x:si>
    <x:t xml:space="preserve">MonthlyMinutes; MonthsInService</x:t>
  </x:si>
  <x:si>
    <x:t xml:space="preserve">Derived: MinutesBand, TenureBand; Target: Churn</x:t>
  </x:si>
  <x:si>
    <x:t xml:space="preserve">Distribution; rate/lift/CI; n; median/IQR</x:t>
  </x:si>
  <x:si>
    <x:t xml:space="preserve">Usage bands; outlier sensitivity; tenure/value strata</x:t>
  </x:si>
  <x:si>
    <x:t xml:space="preserve">C12</x:t>
  </x:si>
  <x:si>
    <x:t xml:space="preserve">Re-engagement hoặc plan review</x:t>
  </x:si>
  <x:si>
    <x:t xml:space="preserve">Rate và volume tách riêng; band đủ mẫu</x:t>
  </x:si>
  <x:si>
    <x:t xml:space="preserve">Khóa usage-decline trigger có lead time</x:t>
  </x:si>
  <x:si>
    <x:t xml:space="preserve">Giảm minutes có tạo trigger đủ risk, reach và lead time không?</x:t>
  </x:si>
  <x:si>
    <x:t xml:space="preserve">PercChangeMinutes; MonthlyMinutes</x:t>
  </x:si>
  <x:si>
    <x:t xml:space="preserve">Derived: UsageTrendBand; Target: Churn</x:t>
  </x:si>
  <x:si>
    <x:t xml:space="preserve">C13</x:t>
  </x:si>
  <x:si>
    <x:t xml:space="preserve">Kích hoạt re-engagement/plan review</x:t>
  </x:si>
  <x:si>
    <x:t xml:space="preserve">Khóa hoặc loại spend-decline trigger</x:t>
  </x:si>
  <x:si>
    <x:t xml:space="preserve">Giảm revenue có thêm thông tin ngoài value hiện tại không?</x:t>
  </x:si>
  <x:si>
    <x:t xml:space="preserve">PercChangeRevenues; MonthlyRevenue</x:t>
  </x:si>
  <x:si>
    <x:t xml:space="preserve">Derived: RevenueTrendBand, ValueTier; Target: Churn</x:t>
  </x:si>
  <x:si>
    <x:t xml:space="preserve">C14</x:t>
  </x:si>
  <x:si>
    <x:t xml:space="preserve">Bill/plan review hoặc combined trigger</x:t>
  </x:si>
  <x:si>
    <x:t xml:space="preserve">BQ08; BQ12</x:t>
  </x:si>
  <x:si>
    <x:t xml:space="preserve">Khóa disengagement reason code ổn định</x:t>
  </x:si>
  <x:si>
    <x:t xml:space="preserve">Kết hợp usage, change signals và peak pattern có tạo reason code ổn định không?</x:t>
  </x:si>
  <x:si>
    <x:t xml:space="preserve">MonthlyMinutes; PercChangeMinutes; PercChangeRevenues; PeakCallsInOut; MonthsInService</x:t>
  </x:si>
  <x:si>
    <x:t xml:space="preserve">Derived: DisengagementFlag, trend bands, TenureBand; Target: Churn</x:t>
  </x:si>
  <x:si>
    <x:t xml:space="preserve">C15</x:t>
  </x:si>
  <x:si>
    <x:t xml:space="preserve">Outbound trigger ưu tiên</x:t>
  </x:si>
  <x:si>
    <x:t xml:space="preserve">BQ04; BQ12–BQ14</x:t>
  </x:si>
  <x:si>
    <x:t xml:space="preserve">C16</x:t>
  </x:si>
  <x:si>
    <x:t xml:space="preserve">Depth nào tối ưu validation loss và xếp hạng có đáng tin không?</x:t>
  </x:si>
  <x:si>
    <x:t xml:space="preserve">Target: Churn; Output: RiskScore</x:t>
  </x:si>
  <x:si>
    <x:t xml:space="preserve">Train/valid log loss; ROC/PR; calibration; lift@5/10/20%</x:t>
  </x:si>
  <x:si>
    <x:t xml:space="preserve">Stratified CV/holdout; native cat features; early stopping</x:t>
  </x:si>
  <x:si>
    <x:t xml:space="preserve">C17</x:t>
  </x:si>
  <x:si>
    <x:t xml:space="preserve">Tạo risk score không cần manual encoding</x:t>
  </x:si>
  <x:si>
    <x:t xml:space="preserve">Depth chọn bằng OOF/valid; metrics từ unseen predictions</x:t>
  </x:si>
  <x:si>
    <x:t xml:space="preserve">MonthlyRevenue (value proxy)</x:t>
  </x:si>
  <x:si>
    <x:t xml:space="preserve">Model: calibrated RiskScore; Derived: RiskTier, ValueTier, ExpectedRevenueExposure = p(churn) × MonthlyRevenue, PrioritySegment; Support: reason code, eligibility/exclusion</x:t>
  </x:si>
  <x:si>
    <x:t xml:space="preserve">C18</x:t>
  </x:si>
  <x:si>
    <x:t xml:space="preserve">6. Chính sách/đo lường</x:t>
  </x:si>
  <x:si>
    <x:t xml:space="preserve">Shared</x:t>
  </x:si>
  <x:si>
    <x:t xml:space="preserve">Khóa policy matrix và threshold khả thi</x:t>
  </x:si>
  <x:si>
    <x:t xml:space="preserve">Chính sách nào phù hợp từng reason code và threshold nào khả thi?</x:t>
  </x:si>
  <x:si>
    <x:t xml:space="preserve">None — use approved BQ18 outputs</x:t>
  </x:si>
  <x:si>
    <x:t xml:space="preserve">Derived: PrioritySegment/reason; External: capacity, cost, margin/CLV, uplift</x:t>
  </x:si>
  <x:si>
    <x:t xml:space="preserve">Eligible/reach; expected churners; break-even uplift/value</x:t>
  </x:si>
  <x:si>
    <x:t xml:space="preserve">Evidence-to-policy mapping; scenarios; capacity sensitivity</x:t>
  </x:si>
  <x:si>
    <x:t xml:space="preserve">C19</x:t>
  </x:si>
  <x:si>
    <x:t xml:space="preserve">Chọn treatment/channel/timing/exclusion</x:t>
  </x:si>
  <x:si>
    <x:t xml:space="preserve">Mỗi segment đủ treatment/control/KPI/guardrail; missing = n.a.</x:t>
  </x:si>
  <x:si>
    <x:t xml:space="preserve">BQ18 + external cost inputs</x:t>
  </x:si>
  <x:si>
    <x:t xml:space="preserve">Khóa pilot và monitoring plan</x:t>
  </x:si>
  <x:si>
    <x:t xml:space="preserve">Thử nghiệm và giám sát thế nào để scale, sửa hoặc dừng?</x:t>
  </x:si>
  <x:si>
    <x:t xml:space="preserve">Experiment: treatment/control/outcomes; Monitoring: feature/score/model version</x:t>
  </x:si>
  <x:si>
    <x:t xml:space="preserve">ITT churn lift; CI/MDE; cost/save; guardrails; drift/fairness</x:t>
  </x:si>
  <x:si>
    <x:t xml:space="preserve">Randomized pilot; pre-specified window; stop rule; monitoring</x:t>
  </x:si>
  <x:si>
    <x:t xml:space="preserve">C20</x:t>
  </x:si>
  <x:si>
    <x:t xml:space="preserve">Đo incremental impact và vận hành an toàn</x:t>
  </x:si>
  <x:si>
    <x:t xml:space="preserve">Sample/data capture/owner/decision rules đầy đủ</x:t>
  </x:si>
  <x:si>
    <x:t xml:space="preserve">Gantt Chart — 20 BQ / 15 Working Days</x:t>
  </x:si>
  <x:si>
    <x:t xml:space="preserve">Màu xanh dương: Analyst A; xanh ngọc: Analyst B; vàng: shared integration, policy và experiment.</x:t>
  </x:si>
  <x:si>
    <x:t xml:space="preserve">Workstream</x:t>
  </x:si>
  <x:si>
    <x:t xml:space="preserve">Task / BQ</x:t>
  </x:si>
  <x:si>
    <x:t xml:space="preserve">Start day</x:t>
  </x:si>
  <x:si>
    <x:t xml:space="preserve">End day</x:t>
  </x:si>
  <x:si>
    <x:t xml:space="preserve">D1</x:t>
  </x:si>
  <x:si>
    <x:t xml:space="preserve">D2</x:t>
  </x:si>
  <x:si>
    <x:t xml:space="preserve">D3</x:t>
  </x:si>
  <x:si>
    <x:t xml:space="preserve">D4</x:t>
  </x:si>
  <x:si>
    <x:t xml:space="preserve">D5</x:t>
  </x:si>
  <x:si>
    <x:t xml:space="preserve">D6</x:t>
  </x:si>
  <x:si>
    <x:t xml:space="preserve">D7</x:t>
  </x:si>
  <x:si>
    <x:t xml:space="preserve">D8</x:t>
  </x:si>
  <x:si>
    <x:t xml:space="preserve">D9</x:t>
  </x:si>
  <x:si>
    <x:t xml:space="preserve">D10</x:t>
  </x:si>
  <x:si>
    <x:t xml:space="preserve">D11</x:t>
  </x:si>
  <x:si>
    <x:t xml:space="preserve">D12</x:t>
  </x:si>
  <x:si>
    <x:t xml:space="preserve">D13</x:t>
  </x:si>
  <x:si>
    <x:t xml:space="preserve">D14</x:t>
  </x:si>
  <x:si>
    <x:t xml:space="preserve">D15</x:t>
  </x:si>
  <x:si>
    <x:t xml:space="preserve">Data trust</x:t>
  </x:si>
  <x:si>
    <x:t xml:space="preserve">Feature readiness</x:t>
  </x:si>
  <x:si>
    <x:t xml:space="preserve">Lifecycle</x:t>
  </x:si>
  <x:si>
    <x:t xml:space="preserve">Device</x:t>
  </x:si>
  <x:si>
    <x:t xml:space="preserve">Data compatibility</x:t>
  </x:si>
  <x:si>
    <x:t xml:space="preserve">Value/Price</x:t>
  </x:si>
  <x:si>
    <x:t xml:space="preserve">Credit/Fairness</x:t>
  </x:si>
  <x:si>
    <x:t xml:space="preserve">Usage</x:t>
  </x:si>
  <x:si>
    <x:t xml:space="preserve">Behavior change</x:t>
  </x:si>
  <x:si>
    <x:t xml:space="preserve">Policy</x:t>
  </x:si>
  <x:si>
    <x:t xml:space="preserve">Experiment</x:t>
  </x:si>
  <x:si>
    <x:t xml:space="preserve">Final story &amp; QA</x:t>
  </x:si>
  <x:si>
    <x:t xml:space="preserve">QA</x:t>
  </x:si>
  <x:si>
    <x:t xml:space="preserve">Progress Tracker — BQ, Evidence, Policy and Feature Contract</x:t>
  </x:si>
  <x:si>
    <x:t xml:space="preserve">Chỉ cập nhật Status, Completion %, Evidence status và Policy status trong BQ REGISTER. Các KPI bên dưới liên kết tới register.</x:t>
  </x:si>
  <x:si>
    <x:t xml:space="preserve">Metric</x:t>
  </x:si>
  <x:si>
    <x:t xml:space="preserve">Current</x:t>
  </x:si>
  <x:si>
    <x:t xml:space="preserve">Target</x:t>
  </x:si>
  <x:si>
    <x:t xml:space="preserve">Completion</x:t>
  </x:si>
  <x:si>
    <x:t xml:space="preserve">Gate</x:t>
  </x:si>
  <x:si>
    <x:t xml:space="preserve">Planned day</x:t>
  </x:si>
  <x:si>
    <x:t xml:space="preserve">Purpose</x:t>
  </x:si>
  <x:si>
    <x:t xml:space="preserve">Exit criteria</x:t>
  </x:si>
  <x:si>
    <x:t xml:space="preserve">#</x:t>
  </x:si>
  <x:si>
    <x:t xml:space="preserve">Base feature</x:t>
  </x:si>
  <x:si>
    <x:t xml:space="preserve">Analysis role</x:t>
  </x:si>
  <x:si>
    <x:t xml:space="preserve">Total BQ</x:t>
  </x:si>
  <x:si>
    <x:t xml:space="preserve">Data lock</x:t>
  </x:si>
  <x:si>
    <x:t xml:space="preserve">Cohort, target, metric và 10-feature contract khóa</x:t>
  </x:si>
  <x:si>
    <x:t xml:space="preserve">Lifecycle timing</x:t>
  </x:si>
  <x:si>
    <x:t xml:space="preserve">Completed</x:t>
  </x:si>
  <x:si>
    <x:t xml:space="preserve">G2</x:t>
  </x:si>
  <x:si>
    <x:t xml:space="preserve">Descriptive evidence</x:t>
  </x:si>
  <x:si>
    <x:t xml:space="preserve">Device age proxy</x:t>
  </x:si>
  <x:si>
    <x:t xml:space="preserve">Overall BQ completion</x:t>
  </x:si>
  <x:si>
    <x:t xml:space="preserve">G3</x:t>
  </x:si>
  <x:si>
    <x:t xml:space="preserve">Segment logic</x:t>
  </x:si>
  <x:si>
    <x:t xml:space="preserve">HandsetWebCapable</x:t>
  </x:si>
  <x:si>
    <x:t xml:space="preserve">Device capability</x:t>
  </x:si>
  <x:si>
    <x:t xml:space="preserve">Must-have completed</x:t>
  </x:si>
  <x:si>
    <x:t xml:space="preserve">G4</x:t>
  </x:si>
  <x:si>
    <x:t xml:space="preserve">Model acceptance</x:t>
  </x:si>
  <x:si>
    <x:t xml:space="preserve">OOF loss, calibration và lift@capacity đạt yêu cầu</x:t>
  </x:si>
  <x:si>
    <x:t xml:space="preserve">Value proxy</x:t>
  </x:si>
  <x:si>
    <x:t xml:space="preserve">Evidence validated</x:t>
  </x:si>
  <x:si>
    <x:t xml:space="preserve">G5</x:t>
  </x:si>
  <x:si>
    <x:t xml:space="preserve">Policy readiness</x:t>
  </x:si>
  <x:si>
    <x:t xml:space="preserve">Segment, treatment, exclusion và assumptions khóa</x:t>
  </x:si>
  <x:si>
    <x:t xml:space="preserve">TotalRecurringCharge</x:t>
  </x:si>
  <x:si>
    <x:t xml:space="preserve">Policy BQs ready</x:t>
  </x:si>
  <x:si>
    <x:t xml:space="preserve">G6</x:t>
  </x:si>
  <x:si>
    <x:t xml:space="preserve">Pilot readiness</x:t>
  </x:si>
  <x:si>
    <x:t xml:space="preserve">Experiment, capture, monitoring và owner phê duyệt</x:t>
  </x:si>
  <x:si>
    <x:t xml:space="preserve">CreditRating</x:t>
  </x:si>
  <x:si>
    <x:t xml:space="preserve">Credit segment / fairness</x:t>
  </x:si>
  <x:si>
    <x:t xml:space="preserve">MonthlyMinutes</x:t>
  </x:si>
  <x:si>
    <x:t xml:space="preserve">Usage level</x:t>
  </x:si>
  <x:si>
    <x:t xml:space="preserve">PercChangeMinutes</x:t>
  </x:si>
  <x:si>
    <x:t xml:space="preserve">Usage trend</x:t>
  </x:si>
  <x:si>
    <x:t xml:space="preserve">Policy hypothesis</x:t>
  </x:si>
  <x:si>
    <x:t xml:space="preserve">Required evidence</x:t>
  </x:si>
  <x:si>
    <x:t xml:space="preserve">Treatment to test</x:t>
  </x:si>
  <x:si>
    <x:t xml:space="preserve">Control</x:t>
  </x:si>
  <x:si>
    <x:t xml:space="preserve">Primary KPI</x:t>
  </x:si>
  <x:si>
    <x:t xml:space="preserve">Guardrail</x:t>
  </x:si>
  <x:si>
    <x:t xml:space="preserve">PercChangeRevenues</x:t>
  </x:si>
  <x:si>
    <x:t xml:space="preserve">Spend trend</x:t>
  </x:si>
  <x:si>
    <x:t xml:space="preserve">Lifecycle risk</x:t>
  </x:si>
  <x:si>
    <x:t xml:space="preserve">BQ04–BQ05</x:t>
  </x:si>
  <x:si>
    <x:t xml:space="preserve">Check-in; bill/plan explanation</x:t>
  </x:si>
  <x:si>
    <x:t xml:space="preserve">Eligible BAU</x:t>
  </x:si>
  <x:si>
    <x:t xml:space="preserve">Incremental churn reduction</x:t>
  </x:si>
  <x:si>
    <x:t xml:space="preserve">Contact fatigue; offer cost</x:t>
  </x:si>
  <x:si>
    <x:t xml:space="preserve">PeakCallsInOut</x:t>
  </x:si>
  <x:si>
    <x:t xml:space="preserve">Peak usage pattern</x:t>
  </x:si>
  <x:si>
    <x:t xml:space="preserve">Device–data compatibility</x:t>
  </x:si>
  <x:si>
    <x:t xml:space="preserve">BQ06 audit + BQ07 adjusted effect</x:t>
  </x:si>
  <x:si>
    <x:t xml:space="preserve">Compatibility/config check; data-service guidance; device offer only if available</x:t>
  </x:si>
  <x:si>
    <x:t xml:space="preserve">Incremental churn reduction; issue resolution</x:t>
  </x:si>
  <x:si>
    <x:t xml:space="preserve">Contact burden; complaints; treatment cost</x:t>
  </x:si>
  <x:si>
    <x:t xml:space="preserve">Price/plan mismatch</x:t>
  </x:si>
  <x:si>
    <x:t xml:space="preserve">Bill review; right-size plan; payment support</x:t>
  </x:si>
  <x:si>
    <x:t xml:space="preserve">Retention + plan acceptance</x:t>
  </x:si>
  <x:si>
    <x:t xml:space="preserve">Revenue dilution; fairness</x:t>
  </x:si>
  <x:si>
    <x:t xml:space="preserve">Behavioral decline</x:t>
  </x:si>
  <x:si>
    <x:t xml:space="preserve">BQ12–BQ15</x:t>
  </x:si>
  <x:si>
    <x:t xml:space="preserve">Retention + usage recovery</x:t>
  </x:si>
  <x:si>
    <x:t xml:space="preserve">Opt-out; spam</x:t>
  </x:si>
  <x:si>
    <x:t xml:space="preserve">Risk × value prioritization</x:t>
  </x:si>
  <x:si>
    <x:t xml:space="preserve">P1: priority care; P2: low-cost retention; P3: monitor</x:t>
  </x:si>
  <x:si>
    <x:t xml:space="preserve">Same-segment BAU/control</x:t>
  </x:si>
  <x:si>
    <x:t xml:space="preserve">Churn reduction + retained monthly revenue proxy</x:t>
  </x:si>
  <x:si>
    <x:t xml:space="preserve">Cost per save; revenue dilution; fairness</x:t>
  </x:si>
  <x:si>
    <x:t xml:space="preserve">Pilot and scale</x:t>
  </x:si>
  <x:si>
    <x:t xml:space="preserve">BQ19–BQ20</x:t>
  </x:si>
  <x:si>
    <x:t xml:space="preserve">Randomized treatment portfolio</x:t>
  </x:si>
  <x:si>
    <x:t xml:space="preserve">Eligible control</x:t>
  </x:si>
  <x:si>
    <x:t xml:space="preserve">ITT churn reduction</x:t>
  </x:si>
  <x:si>
    <x:t xml:space="preserve">Cost, complaints, drift/fairness</x:t>
  </x:si>
</x:sst>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0"/>
      <x:color rgb="FF1F2937"/>
      <x:name val="Arial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b/>
      <x:sz val="9"/>
      <x:color rgb="FFFFFFFF"/>
      <x:name val="Arial"/>
    </x:font>
    <x:font>
      <x:b/>
      <x:sz val="10"/>
      <x:color rgb="FF17365D"/>
      <x:name val="Arial"/>
    </x:font>
    <x:font>
      <x:b/>
      <x:sz val="10"/>
      <x:color rgb="FFC00000"/>
      <x:name val="Arial"/>
    </x:font>
    <x:font>
      <x:b/>
      <x:sz val="14"/>
      <x:color rgb="FF1F4E78"/>
      <x:name val="Arial"/>
    </x:font>
    <x:font>
      <x:i/>
      <x:sz val="9"/>
      <x:color rgb="FF666666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2F75B5"/>
      </x:patternFill>
    </x:fill>
    <x:fill>
      <x:patternFill patternType="solid">
        <x:fgColor rgb="FF0097A7"/>
      </x:patternFill>
    </x:fill>
    <x:fill>
      <x:patternFill patternType="solid">
        <x:fgColor rgb="FFD6A600"/>
      </x:patternFill>
    </x:fill>
    <x:fill>
      <x:patternFill patternType="solid">
        <x:fgColor rgb="FFFFF2CC"/>
      </x:patternFill>
    </x:fill>
    <x:fill>
      <x:patternFill patternType="solid">
        <x:fgColor rgb="FFE2F0F2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6A600"/>
      </x:patternFill>
    </x:fill>
    <x:fill>
      <x:patternFill patternType="solid">
        <x:fgColor rgb="FFFFFFFF"/>
      </x:patternFill>
    </x:fill>
  </x:fills>
  <x:borders count="12">
    <x:border>
      <x:left/>
      <x:right/>
      <x:top/>
      <x:bottom/>
      <x:diagonal/>
    </x:border>
    <x:border>
      <x:left/>
      <x:right style="thin">
        <x:color rgb="FFFFFFFF"/>
      </x:right>
      <x:top/>
      <x:bottom style="medium">
        <x:color rgb="FF17365D"/>
      </x:bottom>
      <x:diagonal/>
    </x:border>
    <x:border>
      <x:left style="thin">
        <x:color rgb="FFFFFFFF"/>
      </x:left>
      <x:right style="thin">
        <x:color rgb="FFFFFFFF"/>
      </x:right>
      <x:top/>
      <x:bottom style="medium">
        <x:color rgb="FF17365D"/>
      </x:bottom>
      <x:diagonal/>
    </x:border>
    <x:border>
      <x:left style="thin">
        <x:color rgb="FFFFFFFF"/>
      </x:left>
      <x:right/>
      <x:top/>
      <x:bottom style="medium">
        <x:color rgb="FF17365D"/>
      </x:bottom>
      <x:diagonal/>
    </x:border>
    <x:border>
      <x:left style="thin">
        <x:color rgb="FFB7C9D6"/>
      </x:left>
      <x:right style="thin">
        <x:color rgb="FFFFFFFF"/>
      </x:right>
      <x:top style="thin">
        <x:color rgb="FFB7C9D6"/>
      </x:top>
      <x:bottom style="medium">
        <x:color rgb="FF17365D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B7C9D6"/>
      </x:top>
      <x:bottom style="medium">
        <x:color rgb="FF17365D"/>
      </x:bottom>
      <x:diagonal/>
    </x:border>
    <x:border>
      <x:left style="thin">
        <x:color rgb="FFFFFFFF"/>
      </x:left>
      <x:right style="thin">
        <x:color rgb="FFB7C9D6"/>
      </x:right>
      <x:top style="thin">
        <x:color rgb="FFB7C9D6"/>
      </x:top>
      <x:bottom style="medium">
        <x:color rgb="FF17365D"/>
      </x:bottom>
      <x:diagonal/>
    </x:border>
    <x:border>
      <x:left style="thin">
        <x:color rgb="FFB7C9D6"/>
      </x:left>
      <x:right/>
      <x:top/>
      <x:bottom/>
      <x:diagonal/>
    </x:border>
    <x:border>
      <x:left/>
      <x:right style="thin">
        <x:color rgb="FFB7C9D6"/>
      </x:right>
      <x:top/>
      <x:bottom/>
      <x:diagonal/>
    </x:border>
    <x:border>
      <x:left style="thin">
        <x:color rgb="FFB7C9D6"/>
      </x:left>
      <x:right/>
      <x:top/>
      <x:bottom style="thin">
        <x:color rgb="FFB7C9D6"/>
      </x:bottom>
      <x:diagonal/>
    </x:border>
    <x:border>
      <x:left/>
      <x:right/>
      <x:top/>
      <x:bottom style="thin">
        <x:color rgb="FFB7C9D6"/>
      </x:bottom>
      <x:diagonal/>
    </x:border>
    <x:border>
      <x:left/>
      <x:right style="thin">
        <x:color rgb="FFB7C9D6"/>
      </x:right>
      <x:top/>
      <x:bottom style="thin">
        <x:color rgb="FFB7C9D6"/>
      </x:bottom>
      <x:diagonal/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0" fontId="4" fillId="2" borderId="1" xfId="0" applyFont="1" applyFill="1" applyBorder="1" applyAlignment="1">
      <x:alignment horizontal="center" vertical="center" wrapText="1"/>
    </x:xf>
    <x:xf numFmtId="0" fontId="4" fillId="2" borderId="2" xfId="0" applyFont="1" applyFill="1" applyBorder="1" applyAlignment="1">
      <x:alignment horizontal="center" vertical="center" wrapText="1"/>
    </x:xf>
    <x:xf numFmtId="0" fontId="4" fillId="2" borderId="3" xfId="0" applyFont="1" applyFill="1" applyBorder="1" applyAlignment="1">
      <x:alignment horizontal="center" vertical="center" wrapText="1"/>
    </x:xf>
    <x:xf numFmtId="0" fontId="1" fillId="3" borderId="0" xfId="0" applyFont="1" applyFill="1" applyAlignment="1">
      <x:alignment vertical="center"/>
    </x:xf>
    <x:xf numFmtId="0" fontId="1" fillId="3" borderId="0" xfId="0" applyFont="1" applyFill="1" applyAlignment="1">
      <x:alignment vertical="center" wrapText="1"/>
    </x:xf>
    <x:xf numFmtId="0" fontId="1" fillId="0" borderId="0" xfId="0" applyFont="1" applyAlignment="1">
      <x:alignment vertical="center" wrapText="1"/>
    </x:xf>
    <x:xf numFmtId="1" fontId="1" fillId="3" borderId="0" xfId="0" applyNumberFormat="1" applyFont="1" applyFill="1" applyAlignment="1">
      <x:alignment vertical="center" wrapText="1"/>
    </x:xf>
    <x:xf numFmtId="1" fontId="1" fillId="0" borderId="0" xfId="0" applyNumberFormat="1" applyFont="1" applyAlignment="1">
      <x:alignment vertical="center" wrapText="1"/>
    </x:xf>
    <x:xf numFmtId="9" fontId="1" fillId="3" borderId="0" xfId="0" applyNumberFormat="1" applyFont="1" applyFill="1" applyAlignment="1">
      <x:alignment vertical="center" wrapText="1"/>
    </x:xf>
    <x:xf numFmtId="9" fontId="1" fillId="0" borderId="0" xfId="0" applyNumberFormat="1" applyFont="1" applyAlignment="1">
      <x:alignment vertical="center" wrapText="1"/>
    </x:xf>
    <x:xf numFmtId="0" fontId="5" fillId="3" borderId="0" xfId="0" applyFont="1" applyFill="1" applyAlignment="1">
      <x:alignment horizontal="center" vertical="center"/>
    </x:xf>
    <x:xf numFmtId="0" fontId="5" fillId="0" borderId="0" xfId="0" applyFont="1" applyAlignment="1">
      <x:alignment horizontal="center" vertical="center"/>
    </x:xf>
    <x:xf numFmtId="0" fontId="5" fillId="4" borderId="0" xfId="0" applyFont="1" applyFill="1" applyAlignment="1">
      <x:alignment horizontal="center" vertical="center"/>
    </x:xf>
    <x:xf numFmtId="0" fontId="5" fillId="5" borderId="0" xfId="0" applyFont="1" applyFill="1" applyAlignment="1">
      <x:alignment horizontal="center" vertical="center"/>
    </x:xf>
    <x:xf numFmtId="0" fontId="5" fillId="6" borderId="0" xfId="0" applyFont="1" applyFill="1" applyAlignment="1">
      <x:alignment horizontal="center" vertical="center"/>
    </x:xf>
    <x:xf numFmtId="0" fontId="4" fillId="2" borderId="4" xfId="0" applyFont="1" applyFill="1" applyBorder="1" applyAlignment="1">
      <x:alignment horizontal="center" vertical="center" wrapText="1"/>
    </x:xf>
    <x:xf numFmtId="0" fontId="4" fillId="2" borderId="5" xfId="0" applyFont="1" applyFill="1" applyBorder="1" applyAlignment="1">
      <x:alignment horizontal="center" vertical="center" wrapText="1"/>
    </x:xf>
    <x:xf numFmtId="0" fontId="4" fillId="2" borderId="6" xfId="0" applyFont="1" applyFill="1" applyBorder="1" applyAlignment="1">
      <x:alignment horizontal="center" vertical="center" wrapText="1"/>
    </x:xf>
    <x:xf numFmtId="0" fontId="1" fillId="3" borderId="7" xfId="0" applyFont="1" applyFill="1" applyBorder="1" applyAlignment="1">
      <x:alignment vertical="center" wrapText="1"/>
    </x:xf>
    <x:xf numFmtId="9" fontId="1" fillId="3" borderId="8" xfId="0" applyNumberFormat="1" applyFont="1" applyFill="1" applyBorder="1" applyAlignment="1">
      <x:alignment vertical="center" wrapText="1"/>
    </x:xf>
    <x:xf numFmtId="0" fontId="1" fillId="7" borderId="7" xfId="0" applyFont="1" applyFill="1" applyBorder="1" applyAlignment="1">
      <x:alignment vertical="center" wrapText="1"/>
    </x:xf>
    <x:xf numFmtId="0" fontId="1" fillId="7" borderId="0" xfId="0" applyFont="1" applyFill="1" applyAlignment="1">
      <x:alignment vertical="center" wrapText="1"/>
    </x:xf>
    <x:xf numFmtId="0" fontId="1" fillId="7" borderId="8" xfId="0" applyFont="1" applyFill="1" applyBorder="1" applyAlignment="1">
      <x:alignment vertical="center" wrapText="1"/>
    </x:xf>
    <x:xf numFmtId="0" fontId="1" fillId="9" borderId="7" xfId="0" applyFont="1" applyFill="1" applyBorder="1" applyAlignment="1">
      <x:alignment vertical="center" wrapText="1"/>
    </x:xf>
    <x:xf numFmtId="0" fontId="1" fillId="9" borderId="0" xfId="0" applyFont="1" applyFill="1" applyAlignment="1">
      <x:alignment vertical="center" wrapText="1"/>
    </x:xf>
    <x:xf numFmtId="0" fontId="1" fillId="9" borderId="8" xfId="0" applyFont="1" applyFill="1" applyBorder="1" applyAlignment="1">
      <x:alignment vertical="center" wrapText="1"/>
    </x:xf>
    <x:xf numFmtId="0" fontId="1" fillId="3" borderId="9" xfId="0" applyFont="1" applyFill="1" applyBorder="1" applyAlignment="1">
      <x:alignment vertical="center" wrapText="1"/>
    </x:xf>
    <x:xf numFmtId="0" fontId="1" fillId="3" borderId="10" xfId="0" applyFont="1" applyFill="1" applyBorder="1" applyAlignment="1">
      <x:alignment vertical="center" wrapText="1"/>
    </x:xf>
    <x:xf numFmtId="9" fontId="1" fillId="3" borderId="11" xfId="0" applyNumberFormat="1" applyFont="1" applyFill="1" applyBorder="1" applyAlignment="1">
      <x:alignment vertical="center" wrapText="1"/>
    </x:xf>
    <x:xf numFmtId="0" fontId="1" fillId="7" borderId="9" xfId="0" applyFont="1" applyFill="1" applyBorder="1" applyAlignment="1">
      <x:alignment vertical="center" wrapText="1"/>
    </x:xf>
    <x:xf numFmtId="0" fontId="1" fillId="7" borderId="10" xfId="0" applyFont="1" applyFill="1" applyBorder="1" applyAlignment="1">
      <x:alignment vertical="center" wrapText="1"/>
    </x:xf>
    <x:xf numFmtId="0" fontId="1" fillId="7" borderId="11" xfId="0" applyFont="1" applyFill="1" applyBorder="1" applyAlignment="1">
      <x:alignment vertical="center" wrapText="1"/>
    </x:xf>
    <x:xf numFmtId="0" fontId="1" fillId="8" borderId="7" xfId="0" applyFont="1" applyFill="1" applyBorder="1" applyAlignment="1">
      <x:alignment vertical="center" wrapText="1"/>
    </x:xf>
    <x:xf numFmtId="0" fontId="1" fillId="8" borderId="0" xfId="0" applyFont="1" applyFill="1" applyAlignment="1">
      <x:alignment vertical="center" wrapText="1"/>
    </x:xf>
    <x:xf numFmtId="0" fontId="1" fillId="8" borderId="8" xfId="0" applyFont="1" applyFill="1" applyBorder="1" applyAlignment="1">
      <x:alignment vertical="center" wrapText="1"/>
    </x:xf>
    <x:xf numFmtId="0" fontId="1" fillId="9" borderId="9" xfId="0" applyFont="1" applyFill="1" applyBorder="1" applyAlignment="1">
      <x:alignment vertical="center" wrapText="1"/>
    </x:xf>
    <x:xf numFmtId="0" fontId="1" fillId="9" borderId="10" xfId="0" applyFont="1" applyFill="1" applyBorder="1" applyAlignment="1">
      <x:alignment vertical="center" wrapText="1"/>
    </x:xf>
    <x:xf numFmtId="0" fontId="1" fillId="9" borderId="11" xfId="0" applyFont="1" applyFill="1" applyBorder="1" applyAlignment="1">
      <x:alignment vertical="center" wrapText="1"/>
    </x:xf>
    <x:xf numFmtId="0" fontId="1" fillId="8" borderId="9" xfId="0" applyFont="1" applyFill="1" applyBorder="1" applyAlignment="1">
      <x:alignment vertical="center" wrapText="1"/>
    </x:xf>
    <x:xf numFmtId="0" fontId="1" fillId="8" borderId="10" xfId="0" applyFont="1" applyFill="1" applyBorder="1" applyAlignment="1">
      <x:alignment vertical="center" wrapText="1"/>
    </x:xf>
    <x:xf numFmtId="0" fontId="1" fillId="8" borderId="11" xfId="0" applyFont="1" applyFill="1" applyBorder="1" applyAlignment="1">
      <x:alignment vertical="center" wrapText="1"/>
    </x:xf>
    <x:xf numFmtId="0" fontId="6" fillId="10" borderId="0" xfId="0" applyFont="1" applyFill="1" applyAlignment="1">
      <x:alignment vertical="center" wrapText="1"/>
    </x:xf>
    <x:xf numFmtId="0" fontId="1" fillId="10" borderId="0" xfId="0" applyFont="1" applyFill="1" applyAlignment="1">
      <x:alignment vertical="center" wrapText="1"/>
    </x:xf>
    <x:xf numFmtId="1" fontId="1" fillId="10" borderId="0" xfId="0" applyNumberFormat="1" applyFont="1" applyFill="1" applyAlignment="1">
      <x:alignment vertical="center" wrapText="1"/>
    </x:xf>
    <x:xf numFmtId="9" fontId="1" fillId="10" borderId="0" xfId="0" applyNumberFormat="1" applyFont="1" applyFill="1" applyAlignment="1">
      <x:alignment vertical="center" wrapText="1"/>
    </x:xf>
    <x:xf numFmtId="0" fontId="7" fillId="11" borderId="0" xfId="0" applyFont="1" applyFill="1" applyAlignment="1">
      <x:alignment vertical="center" wrapText="1"/>
    </x:xf>
    <x:xf numFmtId="0" fontId="6" fillId="10" borderId="0" xfId="0" applyFont="1" applyFill="1" applyAlignment="1">
      <x:alignment vertical="center"/>
    </x:xf>
    <x:xf numFmtId="0" fontId="5" fillId="12" borderId="0" xfId="0" applyFont="1" applyFill="1" applyAlignment="1">
      <x:alignment horizontal="center" vertical="center"/>
    </x:xf>
    <x:xf numFmtId="0" fontId="6" fillId="10" borderId="7" xfId="0" applyFont="1" applyFill="1" applyBorder="1" applyAlignment="1">
      <x:alignment vertical="center" wrapText="1"/>
    </x:xf>
    <x:xf numFmtId="0" fontId="1" fillId="10" borderId="8" xfId="0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/>
    <x:xf numFmtId="0" fontId="9" fillId="1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4"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9fd8d953ac445d" /><Relationship Type="http://schemas.openxmlformats.org/officeDocument/2006/relationships/theme" Target="/xl/theme/theme1.xml" Id="R3bfdbead14ba436b" /><Relationship Type="http://schemas.openxmlformats.org/officeDocument/2006/relationships/sharedStrings" Target="/xl/sharedStrings.xml" Id="Rf72c13b5c59141ef" /><Relationship Type="http://schemas.openxmlformats.org/officeDocument/2006/relationships/worksheet" Target="/xl/worksheets/sheet1.xml" Id="R4376bbc52a5b480a" /><Relationship Type="http://schemas.openxmlformats.org/officeDocument/2006/relationships/worksheet" Target="/xl/worksheets/sheet2.xml" Id="R1aebce854dfc4bdb" /><Relationship Type="http://schemas.openxmlformats.org/officeDocument/2006/relationships/worksheet" Target="/xl/worksheets/sheet3.xml" Id="R9fb4b1d109b04063" /><Relationship Type="http://schemas.openxmlformats.org/officeDocument/2006/relationships/worksheet" Target="/xl/worksheets/sheet4.xml" Id="Rdfd5b9fee15d4a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5" topLeftCell="C6" activePane="bottomRight" state="frozen"/>
    </x:sheetView>
  </x:sheetViews>
  <x:sheetFormatPr defaultRowHeight="13.800000190734863"/>
  <x:cols>
    <x:col min="1" max="1" width="11" customWidth="1"/>
    <x:col min="2" max="2" width="9" customWidth="1"/>
    <x:col min="3" max="3" width="22" customWidth="1"/>
    <x:col min="4" max="4" width="27" customWidth="1"/>
    <x:col min="5" max="5" width="15" customWidth="1"/>
    <x:col min="6" max="6" width="38" customWidth="1"/>
    <x:col min="7" max="7" width="29" customWidth="1"/>
    <x:col min="8" max="8" width="15" customWidth="1"/>
    <x:col min="9" max="9" width="38" customWidth="1"/>
    <x:col min="10" max="10" width="29" customWidth="1"/>
    <x:col min="11" max="11" width="26" customWidth="1"/>
    <x:col min="12" max="12" width="22" customWidth="1"/>
    <x:col min="13" max="13" width="15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1">
      <x:c r="A2" s="2" t="s">
        <x:v>0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3" t="str">
        <x:v>Storyline: tin dữ liệu → insight về lifecycle, thiết bị, giá trị và hành vi → tổng hợp bằng chứng → dự đoán → ưu tiên giữ chân → chính sách → thử nghiệm. Hai analyst làm song song; 20 BQ.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>
      <x:c r="A5" s="4" t="s">
        <x:v>1</x:v>
      </x:c>
      <x:c r="B5" s="5" t="s">
        <x:v>2</x:v>
      </x:c>
      <x:c r="C5" s="5" t="s">
        <x:v>3</x:v>
      </x:c>
      <x:c r="D5" s="5" t="s">
        <x:v>4</x:v>
      </x:c>
      <x:c r="E5" s="5" t="s">
        <x:v>5</x:v>
      </x:c>
      <x:c r="F5" s="5" t="s">
        <x:v>6</x:v>
      </x:c>
      <x:c r="G5" s="5" t="s">
        <x:v>7</x:v>
      </x:c>
      <x:c r="H5" s="5" t="s">
        <x:v>8</x:v>
      </x:c>
      <x:c r="I5" s="5" t="s">
        <x:v>9</x:v>
      </x:c>
      <x:c r="J5" s="5" t="s">
        <x:v>10</x:v>
      </x:c>
      <x:c r="K5" s="5" t="s">
        <x:v>11</x:v>
      </x:c>
      <x:c r="L5" s="5" t="s">
        <x:v>12</x:v>
      </x:c>
      <x:c r="M5" s="6" t="s">
        <x:v>13</x:v>
      </x:c>
    </x:row>
    <x:row r="6" ht="54" customHeight="1">
      <x:c r="A6" s="8" t="s">
        <x:v>14</x:v>
      </x:c>
      <x:c r="B6" s="8" t="s">
        <x:v>15</x:v>
      </x:c>
      <x:c r="C6" s="8" t="s">
        <x:v>16</x:v>
      </x:c>
      <x:c r="D6" s="8" t="s">
        <x:v>17</x:v>
      </x:c>
      <x:c r="E6" s="8" t="s">
        <x:v>18</x:v>
      </x:c>
      <x:c r="F6" s="8" t="s">
        <x:v>19</x:v>
      </x:c>
      <x:c r="G6" s="8" t="s">
        <x:v>20</x:v>
      </x:c>
      <x:c r="H6" s="8" t="s">
        <x:v>21</x:v>
      </x:c>
      <x:c r="I6" s="8" t="s">
        <x:v>22</x:v>
      </x:c>
      <x:c r="J6" s="8" t="s">
        <x:v>23</x:v>
      </x:c>
      <x:c r="K6" s="8" t="s">
        <x:v>24</x:v>
      </x:c>
      <x:c r="L6" s="8" t="s">
        <x:v>25</x:v>
      </x:c>
      <x:c r="M6" s="8" t="s">
        <x:v>26</x:v>
      </x:c>
    </x:row>
    <x:row r="7" ht="54" customHeight="1">
      <x:c r="A7" s="9" t="s">
        <x:v>14</x:v>
      </x:c>
      <x:c r="B7" s="9" t="s">
        <x:v>27</x:v>
      </x:c>
      <x:c r="C7" s="9" t="s">
        <x:v>16</x:v>
      </x:c>
      <x:c r="D7" s="9" t="s">
        <x:v>28</x:v>
      </x:c>
      <x:c r="E7" s="9" t="s">
        <x:v>29</x:v>
      </x:c>
      <x:c r="F7" s="9" t="s">
        <x:v>30</x:v>
      </x:c>
      <x:c r="G7" s="9" t="s">
        <x:v>31</x:v>
      </x:c>
      <x:c r="H7" s="9" t="s">
        <x:v>32</x:v>
      </x:c>
      <x:c r="I7" s="9" t="s">
        <x:v>33</x:v>
      </x:c>
      <x:c r="J7" s="9" t="s">
        <x:v>34</x:v>
      </x:c>
      <x:c r="K7" s="9" t="s">
        <x:v>35</x:v>
      </x:c>
      <x:c r="L7" s="9" t="s">
        <x:v>18</x:v>
      </x:c>
      <x:c r="M7" s="9" t="s">
        <x:v>26</x:v>
      </x:c>
    </x:row>
    <x:row r="8" ht="54" customHeight="1">
      <x:c r="A8" s="8" t="s">
        <x:v>14</x:v>
      </x:c>
      <x:c r="B8" s="8" t="s">
        <x:v>36</x:v>
      </x:c>
      <x:c r="C8" s="8" t="s">
        <x:v>37</x:v>
      </x:c>
      <x:c r="D8" s="8" t="s">
        <x:v>38</x:v>
      </x:c>
      <x:c r="E8" s="8" t="s">
        <x:v>39</x:v>
      </x:c>
      <x:c r="F8" s="8" t="s">
        <x:v>40</x:v>
      </x:c>
      <x:c r="G8" s="8" t="s">
        <x:v>41</x:v>
      </x:c>
      <x:c r="H8" s="8" t="s">
        <x:v>42</x:v>
      </x:c>
      <x:c r="I8" s="8" t="s">
        <x:v>43</x:v>
      </x:c>
      <x:c r="J8" s="8" t="s">
        <x:v>44</x:v>
      </x:c>
      <x:c r="K8" s="8" t="s">
        <x:v>45</x:v>
      </x:c>
      <x:c r="L8" s="8" t="s">
        <x:v>46</x:v>
      </x:c>
      <x:c r="M8" s="8" t="s">
        <x:v>26</x:v>
      </x:c>
    </x:row>
    <x:row r="9" ht="54" customHeight="1">
      <x:c r="A9" s="9" t="s">
        <x:v>14</x:v>
      </x:c>
      <x:c r="B9" s="9" t="s">
        <x:v>47</x:v>
      </x:c>
      <x:c r="C9" s="9" t="s">
        <x:v>48</x:v>
      </x:c>
      <x:c r="D9" s="9" t="str">
        <x:v>Định lượng risk và reach của cửa sổ tenure; kiểm tra usage decline</x:v>
      </x:c>
      <x:c r="E9" s="9" t="s">
        <x:v>49</x:v>
      </x:c>
      <x:c r="F9" s="9" t="str">
        <x:v>Cửa sổ từ BQ04: eligible n, churners, risk × reach; sensitivity ±1–2 tháng</x:v>
      </x:c>
      <x:c r="G9" s="9" t="str">
        <x:v>C05 + lifecycle campaign window</x:v>
      </x:c>
      <x:c r="H9" s="9" t="s">
        <x:v>50</x:v>
      </x:c>
      <x:c r="I9" s="9" t="s">
        <x:v>51</x:v>
      </x:c>
      <x:c r="J9" s="9" t="s">
        <x:v>52</x:v>
      </x:c>
      <x:c r="K9" s="9" t="str">
        <x:v>Lifecycle window đủ risk và reach</x:v>
      </x:c>
      <x:c r="L9" s="9" t="s">
        <x:v>53</x:v>
      </x:c>
      <x:c r="M9" s="9" t="s">
        <x:v>26</x:v>
      </x:c>
    </x:row>
    <x:row r="10" ht="54" customHeight="1">
      <x:c r="A10" s="8" t="s">
        <x:v>14</x:v>
      </x:c>
      <x:c r="B10" s="8" t="s">
        <x:v>54</x:v>
      </x:c>
      <x:c r="C10" s="8" t="s">
        <x:v>55</x:v>
      </x:c>
      <x:c r="D10" s="8" t="s">
        <x:v>56</x:v>
      </x:c>
      <x:c r="E10" s="8" t="s">
        <x:v>57</x:v>
      </x:c>
      <x:c r="F10" s="8" t="s">
        <x:v>58</x:v>
      </x:c>
      <x:c r="G10" s="8" t="s">
        <x:v>59</x:v>
      </x:c>
      <x:c r="H10" s="8" t="s">
        <x:v>60</x:v>
      </x:c>
      <x:c r="I10" s="8" t="s">
        <x:v>61</x:v>
      </x:c>
      <x:c r="J10" s="8" t="s">
        <x:v>62</x:v>
      </x:c>
      <x:c r="K10" s="8" t="s">
        <x:v>63</x:v>
      </x:c>
      <x:c r="L10" s="8" t="s">
        <x:v>32</x:v>
      </x:c>
      <x:c r="M10" s="8" t="s">
        <x:v>26</x:v>
      </x:c>
    </x:row>
    <x:row r="11" ht="61.95000076293945" customHeight="1">
      <x:c r="A11" s="9" t="s">
        <x:v>64</x:v>
      </x:c>
      <x:c r="B11" s="9" t="s">
        <x:v>65</x:v>
      </x:c>
      <x:c r="C11" s="9" t="s">
        <x:v>55</x:v>
      </x:c>
      <x:c r="D11" s="45" t="str">
        <x:v>Kể câu chuyện capability và kiểm chứng hiệu ứng đã điều chỉnh</x:v>
      </x:c>
      <x:c r="E11" s="45" t="s">
        <x:v>66</x:v>
      </x:c>
      <x:c r="F11" s="45" t="str">
        <x:v>Risk/reach trước; spline/GAM chỉ kiểm chứng sau tuổi thiết bị và tenure liên tục</x:v>
      </x:c>
      <x:c r="G11" s="45" t="str">
        <x:v>C07 story + adjusted check + Keep / Context / Remove</x:v>
      </x:c>
      <x:c r="H11" s="9" t="s">
        <x:v>67</x:v>
      </x:c>
      <x:c r="I11" s="9" t="s">
        <x:v>68</x:v>
      </x:c>
      <x:c r="J11" s="9" t="s">
        <x:v>69</x:v>
      </x:c>
      <x:c r="K11" s="45" t="str">
        <x:v>BQ07 — evidence và policy decision</x:v>
      </x:c>
      <x:c r="L11" s="9" t="s">
        <x:v>70</x:v>
      </x:c>
      <x:c r="M11" s="9" t="s">
        <x:v>26</x:v>
      </x:c>
    </x:row>
    <x:row r="12" ht="54" customHeight="1">
      <x:c r="A12" s="8" t="s">
        <x:v>64</x:v>
      </x:c>
      <x:c r="B12" s="8" t="s">
        <x:v>71</x:v>
      </x:c>
      <x:c r="C12" s="8" t="s">
        <x:v>72</x:v>
      </x:c>
      <x:c r="D12" s="8" t="s">
        <x:v>73</x:v>
      </x:c>
      <x:c r="E12" s="8" t="s">
        <x:v>74</x:v>
      </x:c>
      <x:c r="F12" s="8" t="s">
        <x:v>75</x:v>
      </x:c>
      <x:c r="G12" s="8" t="s">
        <x:v>76</x:v>
      </x:c>
      <x:c r="H12" s="8" t="s">
        <x:v>77</x:v>
      </x:c>
      <x:c r="I12" s="8" t="s">
        <x:v>78</x:v>
      </x:c>
      <x:c r="J12" s="8" t="s">
        <x:v>79</x:v>
      </x:c>
      <x:c r="K12" s="8" t="s">
        <x:v>80</x:v>
      </x:c>
      <x:c r="L12" s="8" t="s">
        <x:v>81</x:v>
      </x:c>
      <x:c r="M12" s="8" t="s">
        <x:v>26</x:v>
      </x:c>
    </x:row>
    <x:row r="13" ht="54" customHeight="1">
      <x:c r="A13" s="9" t="s">
        <x:v>64</x:v>
      </x:c>
      <x:c r="B13" s="9" t="s">
        <x:v>82</x:v>
      </x:c>
      <x:c r="C13" s="9" t="s">
        <x:v>72</x:v>
      </x:c>
      <x:c r="D13" s="9" t="str">
        <x:v>Xác định nhóm bill/plan review và kiểm tra gap</x:v>
      </x:c>
      <x:c r="E13" s="9" t="s">
        <x:v>83</x:v>
      </x:c>
      <x:c r="F13" s="9" t="str">
        <x:v>C09 risk/reach theo charge; C10 gap bands + exact-zero audit; technical checks là guardrail</x:v>
      </x:c>
      <x:c r="G13" s="9" t="str">
        <x:v>C09–C10 + bill/plan flags</x:v>
      </x:c>
      <x:c r="H13" s="9" t="s">
        <x:v>84</x:v>
      </x:c>
      <x:c r="I13" s="9" t="s">
        <x:v>85</x:v>
      </x:c>
      <x:c r="J13" s="9" t="s">
        <x:v>86</x:v>
      </x:c>
      <x:c r="K13" s="9" t="s">
        <x:v>87</x:v>
      </x:c>
      <x:c r="L13" s="9" t="s">
        <x:v>88</x:v>
      </x:c>
      <x:c r="M13" s="9" t="s">
        <x:v>26</x:v>
      </x:c>
    </x:row>
    <x:row r="14" ht="54" customHeight="1">
      <x:c r="A14" s="8" t="s">
        <x:v>64</x:v>
      </x:c>
      <x:c r="B14" s="8" t="s">
        <x:v>89</x:v>
      </x:c>
      <x:c r="C14" s="8" t="str">
        <x:v>5. Tổng hợp bằng chứng</x:v>
      </x:c>
      <x:c r="D14" s="8" t="str">
        <x:v>Tổng hợp insight 10 feature và chuẩn bị model</x:v>
      </x:c>
      <x:c r="E14" s="8" t="s">
        <x:v>90</x:v>
      </x:c>
      <x:c r="F14" s="8" t="str">
        <x:v>Evidence register: risk, reach, stability, actionability và feature role</x:v>
      </x:c>
      <x:c r="G14" s="8" t="str">
        <x:v>C16 evidence register draft</x:v>
      </x:c>
      <x:c r="H14" s="8" t="s">
        <x:v>91</x:v>
      </x:c>
      <x:c r="I14" s="8" t="s">
        <x:v>92</x:v>
      </x:c>
      <x:c r="J14" s="8" t="s">
        <x:v>93</x:v>
      </x:c>
      <x:c r="K14" s="8" t="str">
        <x:v>BQ16 analysis-first; BQ17 model-only</x:v>
      </x:c>
      <x:c r="L14" s="8" t="s">
        <x:v>94</x:v>
      </x:c>
      <x:c r="M14" s="8" t="s">
        <x:v>26</x:v>
      </x:c>
    </x:row>
    <x:row r="15" ht="54" customHeight="1">
      <x:c r="A15" s="9" t="s">
        <x:v>64</x:v>
      </x:c>
      <x:c r="B15" s="9" t="s">
        <x:v>95</x:v>
      </x:c>
      <x:c r="C15" s="9" t="str">
        <x:v>5. Tổng hợp/model</x:v>
      </x:c>
      <x:c r="D15" s="9" t="str">
        <x:v>Khóa evidence register; tune model ở BQ17</x:v>
      </x:c>
      <x:c r="E15" s="9" t="s">
        <x:v>90</x:v>
      </x:c>
      <x:c r="F15" s="9" t="str">
        <x:v>Khóa Evidence, Timing, Actionability và Governance; model importance không phải bằng chứng chính</x:v>
      </x:c>
      <x:c r="G15" s="9" t="str">
        <x:v>C16 evidence register final</x:v>
      </x:c>
      <x:c r="H15" s="9" t="s">
        <x:v>96</x:v>
      </x:c>
      <x:c r="I15" s="9" t="s">
        <x:v>97</x:v>
      </x:c>
      <x:c r="J15" s="9" t="s">
        <x:v>98</x:v>
      </x:c>
      <x:c r="K15" s="9" t="str">
        <x:v>BQ16 locked before model card</x:v>
      </x:c>
      <x:c r="L15" s="9" t="s">
        <x:v>90</x:v>
      </x:c>
      <x:c r="M15" s="9" t="s">
        <x:v>26</x:v>
      </x:c>
    </x:row>
    <x:row r="16" ht="36" customHeight="1">
      <x:c r="A16" s="8" t="s">
        <x:v>99</x:v>
      </x:c>
      <x:c r="B16" s="8" t="s">
        <x:v>100</x:v>
      </x:c>
      <x:c r="C16" s="8" t="str">
        <x:v>5. Mô hình/ưu tiên</x:v>
      </x:c>
      <x:c r="D16" s="8" t="str">
        <x:v>Khóa model và thiết kế ưu tiên theo risk × value × reason</x:v>
      </x:c>
      <x:c r="E16" s="8" t="s">
        <x:v>101</x:v>
      </x:c>
      <x:c r="F16" s="8" t="str">
        <x:v>Cố định OOF risk score, value tier BQ08 và reason code BQ16; thiết kế P1–P4</x:v>
      </x:c>
      <x:c r="G16" s="8" t="str">
        <x:v>Priority design + P1–P4 rules</x:v>
      </x:c>
      <x:c r="H16" s="8" t="s">
        <x:v>96</x:v>
      </x:c>
      <x:c r="I16" s="8" t="s">
        <x:v>102</x:v>
      </x:c>
      <x:c r="J16" s="8" t="s">
        <x:v>103</x:v>
      </x:c>
      <x:c r="K16" s="8" t="s">
        <x:v>104</x:v>
      </x:c>
      <x:c r="L16" s="8" t="s">
        <x:v>105</x:v>
      </x:c>
      <x:c r="M16" s="8" t="s">
        <x:v>26</x:v>
      </x:c>
    </x:row>
    <x:row r="17" ht="36" customHeight="1">
      <x:c r="A17" s="9" t="s">
        <x:v>99</x:v>
      </x:c>
      <x:c r="B17" s="9" t="s">
        <x:v>106</x:v>
      </x:c>
      <x:c r="C17" s="9" t="s">
        <x:v>107</x:v>
      </x:c>
      <x:c r="D17" s="9" t="s">
        <x:v>108</x:v>
      </x:c>
      <x:c r="E17" s="9" t="s">
        <x:v>109</x:v>
      </x:c>
      <x:c r="F17" s="9" t="s">
        <x:v>110</x:v>
      </x:c>
      <x:c r="G17" s="9" t="s">
        <x:v>111</x:v>
      </x:c>
      <x:c r="H17" s="9" t="s">
        <x:v>112</x:v>
      </x:c>
      <x:c r="I17" s="9" t="s">
        <x:v>113</x:v>
      </x:c>
      <x:c r="J17" s="9" t="s">
        <x:v>114</x:v>
      </x:c>
      <x:c r="K17" s="9" t="s">
        <x:v>115</x:v>
      </x:c>
      <x:c r="L17" s="9" t="s">
        <x:v>105</x:v>
      </x:c>
      <x:c r="M17" s="9" t="s">
        <x:v>26</x:v>
      </x:c>
    </x:row>
    <x:row r="18" ht="54" customHeight="1">
      <x:c r="A18" s="8" t="s">
        <x:v>99</x:v>
      </x:c>
      <x:c r="B18" s="8" t="s">
        <x:v>116</x:v>
      </x:c>
      <x:c r="C18" s="8" t="s">
        <x:v>117</x:v>
      </x:c>
      <x:c r="D18" s="8" t="s">
        <x:v>118</x:v>
      </x:c>
      <x:c r="E18" s="8" t="s">
        <x:v>112</x:v>
      </x:c>
      <x:c r="F18" s="8" t="s">
        <x:v>119</x:v>
      </x:c>
      <x:c r="G18" s="8" t="s">
        <x:v>120</x:v>
      </x:c>
      <x:c r="H18" s="8" t="s">
        <x:v>112</x:v>
      </x:c>
      <x:c r="I18" s="8" t="s">
        <x:v>121</x:v>
      </x:c>
      <x:c r="J18" s="8" t="s">
        <x:v>122</x:v>
      </x:c>
      <x:c r="K18" s="8" t="s">
        <x:v>123</x:v>
      </x:c>
      <x:c r="L18" s="8" t="s">
        <x:v>124</x:v>
      </x:c>
      <x:c r="M18" s="8" t="s">
        <x:v>26</x:v>
      </x:c>
    </x:row>
    <x:row r="19" ht="54" customHeight="1">
      <x:c r="A19" s="9" t="s">
        <x:v>99</x:v>
      </x:c>
      <x:c r="B19" s="9" t="s">
        <x:v>125</x:v>
      </x:c>
      <x:c r="C19" s="9" t="s">
        <x:v>126</x:v>
      </x:c>
      <x:c r="D19" s="9" t="s">
        <x:v>127</x:v>
      </x:c>
      <x:c r="E19" s="9" t="s">
        <x:v>128</x:v>
      </x:c>
      <x:c r="F19" s="9" t="s">
        <x:v>129</x:v>
      </x:c>
      <x:c r="G19" s="9" t="s">
        <x:v>130</x:v>
      </x:c>
      <x:c r="H19" s="9" t="s">
        <x:v>128</x:v>
      </x:c>
      <x:c r="I19" s="9" t="s">
        <x:v>131</x:v>
      </x:c>
      <x:c r="J19" s="9" t="s">
        <x:v>132</x:v>
      </x:c>
      <x:c r="K19" s="9" t="s">
        <x:v>133</x:v>
      </x:c>
      <x:c r="L19" s="9" t="s">
        <x:v>112</x:v>
      </x:c>
      <x:c r="M19" s="9" t="s">
        <x:v>26</x:v>
      </x:c>
    </x:row>
    <x:row r="20" ht="54" customHeight="1">
      <x:c r="A20" s="8" t="s">
        <x:v>99</x:v>
      </x:c>
      <x:c r="B20" s="8" t="s">
        <x:v>134</x:v>
      </x:c>
      <x:c r="C20" s="8" t="s">
        <x:v>135</x:v>
      </x:c>
      <x:c r="D20" s="8" t="s">
        <x:v>136</x:v>
      </x:c>
      <x:c r="E20" s="8" t="s">
        <x:v>137</x:v>
      </x:c>
      <x:c r="F20" s="8" t="s">
        <x:v>138</x:v>
      </x:c>
      <x:c r="G20" s="8" t="s">
        <x:v>139</x:v>
      </x:c>
      <x:c r="H20" s="8" t="s">
        <x:v>128</x:v>
      </x:c>
      <x:c r="I20" s="8" t="s">
        <x:v>140</x:v>
      </x:c>
      <x:c r="J20" s="8" t="s">
        <x:v>141</x:v>
      </x:c>
      <x:c r="K20" s="8" t="s">
        <x:v>142</x:v>
      </x:c>
      <x:c r="L20" s="8" t="s">
        <x:v>143</x:v>
      </x:c>
      <x:c r="M20" s="8" t="s">
        <x:v>26</x:v>
      </x:c>
    </x:row>
  </x:sheetData>
  <x:conditionalFormatting sqref="M6:M20">
    <x:cfRule type="containsText" dxfId="13" priority="1" operator="containsText" text="Done"/>
    <x:cfRule type="containsText" dxfId="12" priority="2" operator="containsText" text="In Progress"/>
    <x:cfRule type="containsText" dxfId="11" priority="3" operator="containsText" text="Blocked"/>
  </x:conditionalFormatting>
  <x:dataValidations count="1">
    <x:dataValidation type="list" sqref="M6:M20">
      <x:formula1>"Not Started,In Progress,Blocked,Done"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5" topLeftCell="C6" activePane="bottomRight" state="frozen"/>
    </x:sheetView>
  </x:sheetViews>
  <x:sheetFormatPr defaultRowHeight="13.800000190734863"/>
  <x:cols>
    <x:col min="1" max="1" width="9" customWidth="1"/>
    <x:col min="2" max="2" width="20" customWidth="1"/>
    <x:col min="3" max="4" width="12" customWidth="1"/>
    <x:col min="5" max="6" width="31" customWidth="1"/>
    <x:col min="7" max="7" width="32" customWidth="1"/>
    <x:col min="8" max="8" width="34" customWidth="1"/>
    <x:col min="9" max="9" width="30" customWidth="1"/>
    <x:col min="10" max="10" width="32" customWidth="1"/>
    <x:col min="11" max="11" width="8" customWidth="1"/>
    <x:col min="12" max="12" width="29" customWidth="1"/>
    <x:col min="13" max="13" width="34" customWidth="1"/>
    <x:col min="14" max="14" width="10" customWidth="1"/>
    <x:col min="15" max="15" width="18" customWidth="1"/>
    <x:col min="16" max="16" width="14" customWidth="1"/>
    <x:col min="17" max="17" width="12" customWidth="1"/>
    <x:col min="18" max="18" width="16" customWidth="1"/>
    <x:col min="19" max="19" width="15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 ht="21">
      <x:c r="A2" s="2" t="s">
        <x:v>144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>
      <x:c r="A3" s="3" t="str">
        <x:v>Base feature, target, derived field và external input được tách riêng. BQ07 dùng biến liên tục; BQ16 tổng hợp bằng chứng; BQ17 là nơi duy nhất chọn model. Các BQ của Analyst B được liên kết lại ở cuối sheet để luôn hiển thị khi view chính đang lọc.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>
      <x:c r="A5" s="4" t="s">
        <x:v>145</x:v>
      </x:c>
      <x:c r="B5" s="5" t="s">
        <x:v>3</x:v>
      </x:c>
      <x:c r="C5" s="5" t="s">
        <x:v>146</x:v>
      </x:c>
      <x:c r="D5" s="5" t="s">
        <x:v>147</x:v>
      </x:c>
      <x:c r="E5" s="5" t="s">
        <x:v>148</x:v>
      </x:c>
      <x:c r="F5" s="5" t="s">
        <x:v>149</x:v>
      </x:c>
      <x:c r="G5" s="5" t="s">
        <x:v>150</x:v>
      </x:c>
      <x:c r="H5" s="5" t="s">
        <x:v>151</x:v>
      </x:c>
      <x:c r="I5" s="5" t="s">
        <x:v>152</x:v>
      </x:c>
      <x:c r="J5" s="5" t="s">
        <x:v>153</x:v>
      </x:c>
      <x:c r="K5" s="5" t="s">
        <x:v>154</x:v>
      </x:c>
      <x:c r="L5" s="5" t="s">
        <x:v>155</x:v>
      </x:c>
      <x:c r="M5" s="5" t="s">
        <x:v>156</x:v>
      </x:c>
      <x:c r="N5" s="5" t="s">
        <x:v>157</x:v>
      </x:c>
      <x:c r="O5" s="5" t="s">
        <x:v>12</x:v>
      </x:c>
      <x:c r="P5" s="5" t="s">
        <x:v>13</x:v>
      </x:c>
      <x:c r="Q5" s="5" t="s">
        <x:v>158</x:v>
      </x:c>
      <x:c r="R5" s="5" t="s">
        <x:v>159</x:v>
      </x:c>
      <x:c r="S5" s="6" t="s">
        <x:v>160</x:v>
      </x:c>
    </x:row>
    <x:row r="6" ht="72" customHeight="1">
      <x:c r="A6" s="8" t="s">
        <x:v>18</x:v>
      </x:c>
      <x:c r="B6" s="8" t="s">
        <x:v>16</x:v>
      </x:c>
      <x:c r="C6" s="8" t="s">
        <x:v>161</x:v>
      </x:c>
      <x:c r="D6" s="8" t="s">
        <x:v>162</x:v>
      </x:c>
      <x:c r="E6" s="8" t="s">
        <x:v>163</x:v>
      </x:c>
      <x:c r="F6" s="8" t="s">
        <x:v>164</x:v>
      </x:c>
      <x:c r="G6" s="8" t="s">
        <x:v>165</x:v>
      </x:c>
      <x:c r="H6" s="8" t="s">
        <x:v>166</x:v>
      </x:c>
      <x:c r="I6" s="8" t="s">
        <x:v>167</x:v>
      </x:c>
      <x:c r="J6" s="8" t="s">
        <x:v>168</x:v>
      </x:c>
      <x:c r="K6" s="8" t="s">
        <x:v>169</x:v>
      </x:c>
      <x:c r="L6" s="8" t="s">
        <x:v>170</x:v>
      </x:c>
      <x:c r="M6" s="8" t="s">
        <x:v>171</x:v>
      </x:c>
      <x:c r="N6" s="10">
        <x:v>6</x:v>
      </x:c>
      <x:c r="O6" s="8" t="s">
        <x:v>25</x:v>
      </x:c>
      <x:c r="P6" s="8" t="s">
        <x:v>26</x:v>
      </x:c>
      <x:c r="Q6" s="12">
        <x:v>0</x:v>
      </x:c>
      <x:c r="R6" s="8" t="s">
        <x:v>172</x:v>
      </x:c>
      <x:c r="S6" s="8" t="s">
        <x:v>173</x:v>
      </x:c>
    </x:row>
    <x:row r="7" ht="72" customHeight="1">
      <x:c r="A7" s="9" t="s">
        <x:v>29</x:v>
      </x:c>
      <x:c r="B7" s="9" t="s">
        <x:v>16</x:v>
      </x:c>
      <x:c r="C7" s="9" t="s">
        <x:v>161</x:v>
      </x:c>
      <x:c r="D7" s="9" t="s">
        <x:v>162</x:v>
      </x:c>
      <x:c r="E7" s="9" t="s">
        <x:v>174</x:v>
      </x:c>
      <x:c r="F7" s="9" t="s">
        <x:v>175</x:v>
      </x:c>
      <x:c r="G7" s="9" t="s">
        <x:v>165</x:v>
      </x:c>
      <x:c r="H7" s="9" t="s">
        <x:v>176</x:v>
      </x:c>
      <x:c r="I7" s="9" t="s">
        <x:v>177</x:v>
      </x:c>
      <x:c r="J7" s="9" t="s">
        <x:v>178</x:v>
      </x:c>
      <x:c r="K7" s="9" t="s">
        <x:v>179</x:v>
      </x:c>
      <x:c r="L7" s="9" t="s">
        <x:v>180</x:v>
      </x:c>
      <x:c r="M7" s="9" t="s">
        <x:v>181</x:v>
      </x:c>
      <x:c r="N7" s="11">
        <x:v>4</x:v>
      </x:c>
      <x:c r="O7" s="9" t="s">
        <x:v>18</x:v>
      </x:c>
      <x:c r="P7" s="9" t="s">
        <x:v>26</x:v>
      </x:c>
      <x:c r="Q7" s="13">
        <x:v>0</x:v>
      </x:c>
      <x:c r="R7" s="9" t="s">
        <x:v>172</x:v>
      </x:c>
      <x:c r="S7" s="9" t="s">
        <x:v>173</x:v>
      </x:c>
    </x:row>
    <x:row r="8" ht="72" hidden="1" customHeight="1">
      <x:c r="A8" s="8" t="s">
        <x:v>32</x:v>
      </x:c>
      <x:c r="B8" s="8" t="s">
        <x:v>16</x:v>
      </x:c>
      <x:c r="C8" s="8" t="s">
        <x:v>182</x:v>
      </x:c>
      <x:c r="D8" s="8" t="s">
        <x:v>162</x:v>
      </x:c>
      <x:c r="E8" s="8" t="s">
        <x:v>183</x:v>
      </x:c>
      <x:c r="F8" s="8" t="s">
        <x:v>184</x:v>
      </x:c>
      <x:c r="G8" s="8" t="s">
        <x:v>185</x:v>
      </x:c>
      <x:c r="H8" s="8" t="s">
        <x:v>186</x:v>
      </x:c>
      <x:c r="I8" s="8" t="s">
        <x:v>187</x:v>
      </x:c>
      <x:c r="J8" s="8" t="s">
        <x:v>188</x:v>
      </x:c>
      <x:c r="K8" s="8" t="s">
        <x:v>189</x:v>
      </x:c>
      <x:c r="L8" s="8" t="s">
        <x:v>190</x:v>
      </x:c>
      <x:c r="M8" s="8" t="s">
        <x:v>191</x:v>
      </x:c>
      <x:c r="N8" s="10">
        <x:v>5</x:v>
      </x:c>
      <x:c r="O8" s="8" t="s">
        <x:v>18</x:v>
      </x:c>
      <x:c r="P8" s="8" t="s">
        <x:v>26</x:v>
      </x:c>
      <x:c r="Q8" s="12">
        <x:v>0</x:v>
      </x:c>
      <x:c r="R8" s="8" t="s">
        <x:v>172</x:v>
      </x:c>
      <x:c r="S8" s="8" t="s">
        <x:v>173</x:v>
      </x:c>
    </x:row>
    <x:row r="9" ht="72" customHeight="1">
      <x:c r="A9" s="9" t="s">
        <x:v>39</x:v>
      </x:c>
      <x:c r="B9" s="9" t="s">
        <x:v>37</x:v>
      </x:c>
      <x:c r="C9" s="9" t="s">
        <x:v>161</x:v>
      </x:c>
      <x:c r="D9" s="9" t="s">
        <x:v>162</x:v>
      </x:c>
      <x:c r="E9" s="9" t="s">
        <x:v>192</x:v>
      </x:c>
      <x:c r="F9" s="9" t="s">
        <x:v>193</x:v>
      </x:c>
      <x:c r="G9" s="9" t="s">
        <x:v>194</x:v>
      </x:c>
      <x:c r="H9" s="9" t="s">
        <x:v>195</x:v>
      </x:c>
      <x:c r="I9" s="9" t="s">
        <x:v>196</x:v>
      </x:c>
      <x:c r="J9" s="9" t="s">
        <x:v>197</x:v>
      </x:c>
      <x:c r="K9" s="9" t="s">
        <x:v>198</x:v>
      </x:c>
      <x:c r="L9" s="9" t="s">
        <x:v>199</x:v>
      </x:c>
      <x:c r="M9" s="9" t="s">
        <x:v>200</x:v>
      </x:c>
      <x:c r="N9" s="11">
        <x:v>7</x:v>
      </x:c>
      <x:c r="O9" s="9" t="s">
        <x:v>81</x:v>
      </x:c>
      <x:c r="P9" s="9" t="s">
        <x:v>26</x:v>
      </x:c>
      <x:c r="Q9" s="13">
        <x:v>0</x:v>
      </x:c>
      <x:c r="R9" s="9" t="s">
        <x:v>172</x:v>
      </x:c>
      <x:c r="S9" s="9" t="s">
        <x:v>173</x:v>
      </x:c>
    </x:row>
    <x:row r="10" ht="72" customHeight="1">
      <x:c r="A10" s="8" t="s">
        <x:v>49</x:v>
      </x:c>
      <x:c r="B10" s="8" t="s">
        <x:v>37</x:v>
      </x:c>
      <x:c r="C10" s="8" t="s">
        <x:v>161</x:v>
      </x:c>
      <x:c r="D10" s="8" t="s">
        <x:v>162</x:v>
      </x:c>
      <x:c r="E10" s="8" t="str">
        <x:v>Đánh giá cửa sổ tenure rủi ro có đủ quy mô để triển khai</x:v>
      </x:c>
      <x:c r="F10" s="8" t="str">
        <x:v>Cửa sổ tenure rủi ro từ BQ04 có đủ risk và reach cho chiến dịch giữ chân không?</x:v>
      </x:c>
      <x:c r="G10" s="8" t="s">
        <x:v>194</x:v>
      </x:c>
      <x:c r="H10" s="8" t="str">
        <x:v>Derived: LifecycleWindow; Target: Churn</x:v>
      </x:c>
      <x:c r="I10" s="8" t="str">
        <x:v>Eligible n; churners; churn rate/CI; difference pp; customer share; campaign reach</x:v>
      </x:c>
      <x:c r="J10" s="8" t="str">
        <x:v>Dùng cửa sổ tháng từ BQ04; so sánh risk × reach; sensitivity ±1–2 tháng; không tạo band mới</x:v>
      </x:c>
      <x:c r="K10" s="8" t="s">
        <x:v>201</x:v>
      </x:c>
      <x:c r="L10" s="8" t="str">
        <x:v>Chọn thời điểm check-in và quy mô campaign khả thi</x:v>
      </x:c>
      <x:c r="M10" s="8" t="str">
        <x:v>Window có risk, reach và timing rõ; không lặp lại monthly curve BQ04</x:v>
      </x:c>
      <x:c r="N10" s="10" t="n">
        <x:v>5</x:v>
      </x:c>
      <x:c r="O10" s="8" t="s">
        <x:v>39</x:v>
      </x:c>
      <x:c r="P10" s="8" t="s">
        <x:v>26</x:v>
      </x:c>
      <x:c r="Q10" s="12">
        <x:v>0</x:v>
      </x:c>
      <x:c r="R10" s="8" t="s">
        <x:v>172</x:v>
      </x:c>
      <x:c r="S10" s="8" t="s">
        <x:v>173</x:v>
      </x:c>
    </x:row>
    <x:row r="11" ht="72" customHeight="1">
      <x:c r="A11" s="9" t="s">
        <x:v>57</x:v>
      </x:c>
      <x:c r="B11" s="9" t="s">
        <x:v>37</x:v>
      </x:c>
      <x:c r="C11" s="9" t="s">
        <x:v>161</x:v>
      </x:c>
      <x:c r="D11" s="9" t="s">
        <x:v>162</x:v>
      </x:c>
      <x:c r="E11" s="9" t="s">
        <x:v>202</x:v>
      </x:c>
      <x:c r="F11" s="9" t="s">
        <x:v>203</x:v>
      </x:c>
      <x:c r="G11" s="9" t="s">
        <x:v>204</x:v>
      </x:c>
      <x:c r="H11" s="9" t="s">
        <x:v>205</x:v>
      </x:c>
      <x:c r="I11" s="9" t="s">
        <x:v>206</x:v>
      </x:c>
      <x:c r="J11" s="9" t="s">
        <x:v>207</x:v>
      </x:c>
      <x:c r="K11" s="9" t="s">
        <x:v>208</x:v>
      </x:c>
      <x:c r="L11" s="9" t="s">
        <x:v>209</x:v>
      </x:c>
      <x:c r="M11" s="9" t="s">
        <x:v>210</x:v>
      </x:c>
      <x:c r="N11" s="11">
        <x:v>6</x:v>
      </x:c>
      <x:c r="O11" s="9" t="s">
        <x:v>81</x:v>
      </x:c>
      <x:c r="P11" s="9" t="s">
        <x:v>26</x:v>
      </x:c>
      <x:c r="Q11" s="13">
        <x:v>0</x:v>
      </x:c>
      <x:c r="R11" s="9" t="s">
        <x:v>172</x:v>
      </x:c>
      <x:c r="S11" s="9" t="s">
        <x:v>173</x:v>
      </x:c>
    </x:row>
    <x:row r="12" ht="82.05000305175781" customHeight="1">
      <x:c r="A12" s="45" t="s">
        <x:v>66</x:v>
      </x:c>
      <x:c r="B12" s="46" t="s">
        <x:v>37</x:v>
      </x:c>
      <x:c r="C12" s="46" t="s">
        <x:v>161</x:v>
      </x:c>
      <x:c r="D12" s="49" t="s">
        <x:v>162</x:v>
      </x:c>
      <x:c r="E12" s="45" t="s">
        <x:v>211</x:v>
      </x:c>
      <x:c r="F12" s="45" t="s">
        <x:v>212</x:v>
      </x:c>
      <x:c r="G12" s="46" t="s">
        <x:v>213</x:v>
      </x:c>
      <x:c r="H12" s="46" t="s">
        <x:v>214</x:v>
      </x:c>
      <x:c r="I12" s="46" t="s">
        <x:v>215</x:v>
      </x:c>
      <x:c r="J12" s="46" t="s">
        <x:v>216</x:v>
      </x:c>
      <x:c r="K12" s="45" t="s">
        <x:v>217</x:v>
      </x:c>
      <x:c r="L12" s="46" t="s">
        <x:v>218</x:v>
      </x:c>
      <x:c r="M12" s="46" t="s">
        <x:v>219</x:v>
      </x:c>
      <x:c r="N12" s="47">
        <x:v>8</x:v>
      </x:c>
      <x:c r="O12" s="46" t="s">
        <x:v>220</x:v>
      </x:c>
      <x:c r="P12" s="46" t="s">
        <x:v>26</x:v>
      </x:c>
      <x:c r="Q12" s="48">
        <x:v>0</x:v>
      </x:c>
      <x:c r="R12" s="46" t="s">
        <x:v>172</x:v>
      </x:c>
      <x:c r="S12" s="46" t="s">
        <x:v>221</x:v>
      </x:c>
    </x:row>
    <x:row r="13" ht="72" customHeight="1">
      <x:c r="A13" s="9" t="s">
        <x:v>74</x:v>
      </x:c>
      <x:c r="B13" s="9" t="s">
        <x:v>72</x:v>
      </x:c>
      <x:c r="C13" s="9" t="s">
        <x:v>161</x:v>
      </x:c>
      <x:c r="D13" s="9" t="s">
        <x:v>162</x:v>
      </x:c>
      <x:c r="E13" s="9" t="s">
        <x:v>222</x:v>
      </x:c>
      <x:c r="F13" s="9" t="s">
        <x:v>223</x:v>
      </x:c>
      <x:c r="G13" s="9" t="s">
        <x:v>224</x:v>
      </x:c>
      <x:c r="H13" s="9" t="s">
        <x:v>225</x:v>
      </x:c>
      <x:c r="I13" s="9" t="s">
        <x:v>226</x:v>
      </x:c>
      <x:c r="J13" s="9" t="s">
        <x:v>227</x:v>
      </x:c>
      <x:c r="K13" s="9" t="s">
        <x:v>228</x:v>
      </x:c>
      <x:c r="L13" s="9" t="s">
        <x:v>229</x:v>
      </x:c>
      <x:c r="M13" s="9" t="s">
        <x:v>230</x:v>
      </x:c>
      <x:c r="N13" s="11">
        <x:v>6</x:v>
      </x:c>
      <x:c r="O13" s="9" t="s">
        <x:v>81</x:v>
      </x:c>
      <x:c r="P13" s="9" t="s">
        <x:v>26</x:v>
      </x:c>
      <x:c r="Q13" s="13">
        <x:v>0</x:v>
      </x:c>
      <x:c r="R13" s="9" t="s">
        <x:v>172</x:v>
      </x:c>
      <x:c r="S13" s="9" t="s">
        <x:v>173</x:v>
      </x:c>
    </x:row>
    <x:row r="14" ht="72" customHeight="1">
      <x:c r="A14" s="8" t="s">
        <x:v>231</x:v>
      </x:c>
      <x:c r="B14" s="8" t="s">
        <x:v>72</x:v>
      </x:c>
      <x:c r="C14" s="8" t="s">
        <x:v>161</x:v>
      </x:c>
      <x:c r="D14" s="8" t="s">
        <x:v>162</x:v>
      </x:c>
      <x:c r="E14" s="8" t="s">
        <x:v>232</x:v>
      </x:c>
      <x:c r="F14" s="8" t="s">
        <x:v>233</x:v>
      </x:c>
      <x:c r="G14" s="8" t="s">
        <x:v>234</x:v>
      </x:c>
      <x:c r="H14" s="8" t="s">
        <x:v>235</x:v>
      </x:c>
      <x:c r="I14" s="8" t="s">
        <x:v>236</x:v>
      </x:c>
      <x:c r="J14" s="8" t="s">
        <x:v>237</x:v>
      </x:c>
      <x:c r="K14" s="8" t="s">
        <x:v>238</x:v>
      </x:c>
      <x:c r="L14" s="8" t="s">
        <x:v>239</x:v>
      </x:c>
      <x:c r="M14" s="8" t="s">
        <x:v>240</x:v>
      </x:c>
      <x:c r="N14" s="10">
        <x:v>6</x:v>
      </x:c>
      <x:c r="O14" s="8" t="s">
        <x:v>74</x:v>
      </x:c>
      <x:c r="P14" s="8" t="s">
        <x:v>26</x:v>
      </x:c>
      <x:c r="Q14" s="12">
        <x:v>0</x:v>
      </x:c>
      <x:c r="R14" s="8" t="s">
        <x:v>172</x:v>
      </x:c>
      <x:c r="S14" s="8" t="s">
        <x:v>221</x:v>
      </x:c>
    </x:row>
    <x:row r="15" ht="72" customHeight="1">
      <x:c r="A15" s="9" t="s">
        <x:v>241</x:v>
      </x:c>
      <x:c r="B15" s="9" t="s">
        <x:v>72</x:v>
      </x:c>
      <x:c r="C15" s="9" t="s">
        <x:v>161</x:v>
      </x:c>
      <x:c r="D15" s="9" t="s">
        <x:v>242</x:v>
      </x:c>
      <x:c r="E15" s="9" t="str">
        <x:v>Quyết định gap là reason code hay chỉ là cờ bill/plan phụ</x:v>
      </x:c>
      <x:c r="F15" s="9" t="str">
        <x:v>Revenue–charge gap có giúp nhận diện nhóm cần kiểm tra bill/plan ngoài hai biến gốc không?</x:v>
      </x:c>
      <x:c r="G15" s="9" t="s">
        <x:v>243</x:v>
      </x:c>
      <x:c r="H15" s="9" t="s">
        <x:v>244</x:v>
      </x:c>
      <x:c r="I15" s="9" t="str">
        <x:v>Sign/band n; churn rate/lift/CI; exact-zero cohort; tail stability; incremental CV</x:v>
      </x:c>
      <x:c r="J15" s="9" t="str">
        <x:v>Bands quanh 0; exact-zero audit; P1–P99 và quantile sensitivity; 5-fold incremental check là guardrail</x:v>
      </x:c>
      <x:c r="K15" s="9" t="s">
        <x:v>245</x:v>
      </x:c>
      <x:c r="L15" s="9" t="str">
        <x:v>Cờ bill/plan phụ sau risk score; không là reason code nếu thiếu incremental evidence</x:v>
      </x:c>
      <x:c r="M15" s="9" t="str">
        <x:v>Không gọi gap là margin/overage; quyết định Keep as flag hoặc Remove reason code</x:v>
      </x:c>
      <x:c r="N15" s="11">
        <x:v>5</x:v>
      </x:c>
      <x:c r="O15" s="9" t="s">
        <x:v>246</x:v>
      </x:c>
      <x:c r="P15" s="9" t="s">
        <x:v>26</x:v>
      </x:c>
      <x:c r="Q15" s="13">
        <x:v>0</x:v>
      </x:c>
      <x:c r="R15" s="9" t="s">
        <x:v>172</x:v>
      </x:c>
      <x:c r="S15" s="9" t="s">
        <x:v>221</x:v>
      </x:c>
    </x:row>
    <x:row r="16" ht="72" hidden="1" customHeight="1">
      <x:c r="A16" s="8" t="s">
        <x:v>77</x:v>
      </x:c>
      <x:c r="B16" s="8" t="s">
        <x:v>72</x:v>
      </x:c>
      <x:c r="C16" s="8" t="s">
        <x:v>182</x:v>
      </x:c>
      <x:c r="D16" s="8" t="s">
        <x:v>162</x:v>
      </x:c>
      <x:c r="E16" s="8" t="s">
        <x:v>247</x:v>
      </x:c>
      <x:c r="F16" s="8" t="s">
        <x:v>248</x:v>
      </x:c>
      <x:c r="G16" s="8" t="s">
        <x:v>249</x:v>
      </x:c>
      <x:c r="H16" s="8" t="s">
        <x:v>250</x:v>
      </x:c>
      <x:c r="I16" s="8" t="s">
        <x:v>251</x:v>
      </x:c>
      <x:c r="J16" s="8" t="s">
        <x:v>252</x:v>
      </x:c>
      <x:c r="K16" s="8" t="s">
        <x:v>253</x:v>
      </x:c>
      <x:c r="L16" s="8" t="s">
        <x:v>254</x:v>
      </x:c>
      <x:c r="M16" s="8" t="s">
        <x:v>255</x:v>
      </x:c>
      <x:c r="N16" s="10">
        <x:v>6</x:v>
      </x:c>
      <x:c r="O16" s="8" t="s">
        <x:v>246</x:v>
      </x:c>
      <x:c r="P16" s="8" t="s">
        <x:v>26</x:v>
      </x:c>
      <x:c r="Q16" s="12">
        <x:v>0</x:v>
      </x:c>
      <x:c r="R16" s="8" t="s">
        <x:v>172</x:v>
      </x:c>
      <x:c r="S16" s="8" t="s">
        <x:v>221</x:v>
      </x:c>
    </x:row>
    <x:row r="17" ht="72" hidden="1" customHeight="1">
      <x:c r="A17" s="9" t="s">
        <x:v>42</x:v>
      </x:c>
      <x:c r="B17" s="9" t="s">
        <x:v>256</x:v>
      </x:c>
      <x:c r="C17" s="9" t="s">
        <x:v>182</x:v>
      </x:c>
      <x:c r="D17" s="9" t="s">
        <x:v>162</x:v>
      </x:c>
      <x:c r="E17" s="9" t="s">
        <x:v>257</x:v>
      </x:c>
      <x:c r="F17" s="9" t="s">
        <x:v>258</x:v>
      </x:c>
      <x:c r="G17" s="9" t="s">
        <x:v>259</x:v>
      </x:c>
      <x:c r="H17" s="9" t="s">
        <x:v>260</x:v>
      </x:c>
      <x:c r="I17" s="9" t="s">
        <x:v>261</x:v>
      </x:c>
      <x:c r="J17" s="9" t="s">
        <x:v>262</x:v>
      </x:c>
      <x:c r="K17" s="9" t="s">
        <x:v>263</x:v>
      </x:c>
      <x:c r="L17" s="9" t="s">
        <x:v>264</x:v>
      </x:c>
      <x:c r="M17" s="9" t="s">
        <x:v>265</x:v>
      </x:c>
      <x:c r="N17" s="11">
        <x:v>6</x:v>
      </x:c>
      <x:c r="O17" s="9" t="s">
        <x:v>81</x:v>
      </x:c>
      <x:c r="P17" s="9" t="s">
        <x:v>26</x:v>
      </x:c>
      <x:c r="Q17" s="13">
        <x:v>0</x:v>
      </x:c>
      <x:c r="R17" s="9" t="s">
        <x:v>172</x:v>
      </x:c>
      <x:c r="S17" s="9" t="s">
        <x:v>173</x:v>
      </x:c>
    </x:row>
    <x:row r="18" ht="72" hidden="1" customHeight="1">
      <x:c r="A18" s="8" t="s">
        <x:v>50</x:v>
      </x:c>
      <x:c r="B18" s="8" t="s">
        <x:v>256</x:v>
      </x:c>
      <x:c r="C18" s="8" t="s">
        <x:v>182</x:v>
      </x:c>
      <x:c r="D18" s="8" t="s">
        <x:v>162</x:v>
      </x:c>
      <x:c r="E18" s="8" t="s">
        <x:v>266</x:v>
      </x:c>
      <x:c r="F18" s="8" t="s">
        <x:v>267</x:v>
      </x:c>
      <x:c r="G18" s="8" t="s">
        <x:v>268</x:v>
      </x:c>
      <x:c r="H18" s="8" t="s">
        <x:v>269</x:v>
      </x:c>
      <x:c r="I18" s="8" t="str">
        <x:v>Churn rate/lift/CI; coverage; lead-time availability; threshold stability</x:v>
      </x:c>
      <x:c r="J18" s="8" t="str">
        <x:v>Bins quanh 0; risk × reach; threshold sensitivity; minimum-sample và timing checks</x:v>
      </x:c>
      <x:c r="K18" s="8" t="s">
        <x:v>270</x:v>
      </x:c>
      <x:c r="L18" s="8" t="s">
        <x:v>271</x:v>
      </x:c>
      <x:c r="M18" s="8" t="str">
        <x:v>Đơn vị/timing xác minh; trigger đủ risk, reach và lead time; không overfit</x:v>
      </x:c>
      <x:c r="N18" s="10">
        <x:v>7</x:v>
      </x:c>
      <x:c r="O18" s="8" t="s">
        <x:v>42</x:v>
      </x:c>
      <x:c r="P18" s="8" t="s">
        <x:v>26</x:v>
      </x:c>
      <x:c r="Q18" s="12">
        <x:v>0</x:v>
      </x:c>
      <x:c r="R18" s="8" t="s">
        <x:v>172</x:v>
      </x:c>
      <x:c r="S18" s="8" t="s">
        <x:v>221</x:v>
      </x:c>
    </x:row>
    <x:row r="19" ht="72" hidden="1" customHeight="1">
      <x:c r="A19" s="9" t="s">
        <x:v>60</x:v>
      </x:c>
      <x:c r="B19" s="9" t="s">
        <x:v>256</x:v>
      </x:c>
      <x:c r="C19" s="9" t="s">
        <x:v>182</x:v>
      </x:c>
      <x:c r="D19" s="9" t="s">
        <x:v>162</x:v>
      </x:c>
      <x:c r="E19" s="9" t="s">
        <x:v>272</x:v>
      </x:c>
      <x:c r="F19" s="9" t="s">
        <x:v>273</x:v>
      </x:c>
      <x:c r="G19" s="9" t="s">
        <x:v>274</x:v>
      </x:c>
      <x:c r="H19" s="9" t="s">
        <x:v>275</x:v>
      </x:c>
      <x:c r="I19" s="9" t="str">
        <x:v>Churn rate/lift/CI; coverage; within-value difference; redundancy</x:v>
      </x:c>
      <x:c r="J19" s="9" t="str">
        <x:v>Trend bands; value strata; compare current revenue; tail và threshold sensitivity</x:v>
      </x:c>
      <x:c r="K19" s="9" t="s">
        <x:v>276</x:v>
      </x:c>
      <x:c r="L19" s="9" t="s">
        <x:v>277</x:v>
      </x:c>
      <x:c r="M19" s="9" t="str">
        <x:v>Chỉ giữ trigger nếu còn phân tách churn ngoài value hiện tại và timing hợp lệ</x:v>
      </x:c>
      <x:c r="N19" s="11">
        <x:v>7</x:v>
      </x:c>
      <x:c r="O19" s="9" t="s">
        <x:v>278</x:v>
      </x:c>
      <x:c r="P19" s="9" t="s">
        <x:v>26</x:v>
      </x:c>
      <x:c r="Q19" s="13">
        <x:v>0</x:v>
      </x:c>
      <x:c r="R19" s="9" t="s">
        <x:v>172</x:v>
      </x:c>
      <x:c r="S19" s="9" t="s">
        <x:v>221</x:v>
      </x:c>
    </x:row>
    <x:row r="20" ht="72" hidden="1" customHeight="1">
      <x:c r="A20" s="8" t="s">
        <x:v>67</x:v>
      </x:c>
      <x:c r="B20" s="8" t="s">
        <x:v>256</x:v>
      </x:c>
      <x:c r="C20" s="8" t="s">
        <x:v>182</x:v>
      </x:c>
      <x:c r="D20" s="8" t="s">
        <x:v>162</x:v>
      </x:c>
      <x:c r="E20" s="8" t="s">
        <x:v>279</x:v>
      </x:c>
      <x:c r="F20" s="8" t="s">
        <x:v>280</x:v>
      </x:c>
      <x:c r="G20" s="8" t="s">
        <x:v>281</x:v>
      </x:c>
      <x:c r="H20" s="8" t="s">
        <x:v>282</x:v>
      </x:c>
      <x:c r="I20" s="8" t="str">
        <x:v>Coverage; churn rate/lift/CI; overlap; incremental risk difference; segment size</x:v>
      </x:c>
      <x:c r="J20" s="8" t="str">
        <x:v>Prespecified reason-code rules; overlap matrix; tenure/value strata; sensitivity và minimum-cell</x:v>
      </x:c>
      <x:c r="K20" s="8" t="s">
        <x:v>283</x:v>
      </x:c>
      <x:c r="L20" s="8" t="s">
        <x:v>284</x:v>
      </x:c>
      <x:c r="M20" s="8" t="str">
        <x:v>Báo risk + reach; PeakCalls chỉ giữ khi cải thiện phân tách và đủ mẫu</x:v>
      </x:c>
      <x:c r="N20" s="10">
        <x:v>8</x:v>
      </x:c>
      <x:c r="O20" s="8" t="s">
        <x:v>285</x:v>
      </x:c>
      <x:c r="P20" s="8" t="s">
        <x:v>26</x:v>
      </x:c>
      <x:c r="Q20" s="12">
        <x:v>0</x:v>
      </x:c>
      <x:c r="R20" s="8" t="s">
        <x:v>172</x:v>
      </x:c>
      <x:c r="S20" s="8" t="s">
        <x:v>221</x:v>
      </x:c>
    </x:row>
    <x:row r="21" ht="72" customHeight="1">
      <x:c r="A21" s="9" t="s">
        <x:v>90</x:v>
      </x:c>
      <x:c r="B21" s="9" t="str">
        <x:v>5. Tổng hợp bằng chứng</x:v>
      </x:c>
      <x:c r="C21" s="9" t="s">
        <x:v>161</x:v>
      </x:c>
      <x:c r="D21" s="9" t="s">
        <x:v>162</x:v>
      </x:c>
      <x:c r="E21" s="9" t="str">
        <x:v>Tổng hợp insight, risk, reach và actionability của bộ 10 feature</x:v>
      </x:c>
      <x:c r="F21" s="9" t="str">
        <x:v>Feature nào tạo phân khúc churn rõ, đủ quy mô và gắn được với hành động giữ chân?</x:v>
      </x:c>
      <x:c r="G21" s="9" t="s">
        <x:v>185</x:v>
      </x:c>
      <x:c r="H21" s="9" t="str">
        <x:v>Target: Churn; Output: Evidence register; FeatureRole = risk/value/reason/context</x:v>
      </x:c>
      <x:c r="I21" s="9" t="str">
        <x:v>Risk; reach; difference pp/lift/CI; stability; actionability; governance</x:v>
      </x:c>
      <x:c r="J21" s="9" t="str">
        <x:v>Tổng hợp BQ04–BQ15; evidence matrix; kiểm tra nhiễu/redundancy; không dùng model importance làm bằng chứng chính</x:v>
      </x:c>
      <x:c r="K21" s="9" t="s">
        <x:v>286</x:v>
      </x:c>
      <x:c r="L21" s="9" t="str">
        <x:v>Khóa insight, feature role và reason-code candidates trước khi xây model</x:v>
      </x:c>
      <x:c r="M21" s="9" t="str">
        <x:v>Đủ Evidence/Timing/Actionability/Governance; trạng thái Observed/Supported/Hypothesis; không suy diễn nhân quả</x:v>
      </x:c>
      <x:c r="N21" s="11">
        <x:v>8</x:v>
      </x:c>
      <x:c r="O21" s="9" t="s">
        <x:v>94</x:v>
      </x:c>
      <x:c r="P21" s="9" t="s">
        <x:v>26</x:v>
      </x:c>
      <x:c r="Q21" s="13">
        <x:v>0</x:v>
      </x:c>
      <x:c r="R21" s="9" t="s">
        <x:v>172</x:v>
      </x:c>
      <x:c r="S21" s="9" t="s">
        <x:v>173</x:v>
      </x:c>
    </x:row>
    <x:row r="22" ht="72" hidden="1" customHeight="1">
      <x:c r="A22" s="8" t="s">
        <x:v>96</x:v>
      </x:c>
      <x:c r="B22" s="8" t="str">
        <x:v>5. Mô hình dự đoán</x:v>
      </x:c>
      <x:c r="C22" s="8" t="s">
        <x:v>182</x:v>
      </x:c>
      <x:c r="D22" s="8" t="s">
        <x:v>162</x:v>
      </x:c>
      <x:c r="E22" s="8" t="str">
        <x:v>Khóa mô hình dự đoán, CatBoost depth và model card</x:v>
      </x:c>
      <x:c r="F22" s="8" t="s">
        <x:v>287</x:v>
      </x:c>
      <x:c r="G22" s="8" t="s">
        <x:v>185</x:v>
      </x:c>
      <x:c r="H22" s="8" t="s">
        <x:v>288</x:v>
      </x:c>
      <x:c r="I22" s="8" t="s">
        <x:v>289</x:v>
      </x:c>
      <x:c r="J22" s="8" t="s">
        <x:v>290</x:v>
      </x:c>
      <x:c r="K22" s="8" t="s">
        <x:v>291</x:v>
      </x:c>
      <x:c r="L22" s="8" t="s">
        <x:v>292</x:v>
      </x:c>
      <x:c r="M22" s="8" t="s">
        <x:v>293</x:v>
      </x:c>
      <x:c r="N22" s="10">
        <x:v>10</x:v>
      </x:c>
      <x:c r="O22" s="8" t="s">
        <x:v>90</x:v>
      </x:c>
      <x:c r="P22" s="8" t="s">
        <x:v>26</x:v>
      </x:c>
      <x:c r="Q22" s="12">
        <x:v>0</x:v>
      </x:c>
      <x:c r="R22" s="8" t="s">
        <x:v>172</x:v>
      </x:c>
      <x:c r="S22" s="8" t="s">
        <x:v>173</x:v>
      </x:c>
    </x:row>
    <x:row r="23" ht="60" customHeight="1">
      <x:c r="A23" s="9" t="s">
        <x:v>109</x:v>
      </x:c>
      <x:c r="B23" s="9" t="str">
        <x:v>5. Ưu tiên giữ chân</x:v>
      </x:c>
      <x:c r="C23" s="9" t="s">
        <x:v>161</x:v>
      </x:c>
      <x:c r="D23" s="9" t="s">
        <x:v>162</x:v>
      </x:c>
      <x:c r="E23" s="9" t="str">
        <x:v>Ưu tiên khách hàng theo risk, value, reason và campaign capacity</x:v>
      </x:c>
      <x:c r="F23" s="9" t="str">
        <x:v>Ai cần liên hệ trước khi capacity hữu hạn, sau khi tách xác suất churn khỏi value và reason code?</x:v>
      </x:c>
      <x:c r="G23" s="9" t="s">
        <x:v>294</x:v>
      </x:c>
      <x:c r="H23" s="9" t="s">
        <x:v>295</x:v>
      </x:c>
      <x:c r="I23" s="9" t="str">
        <x:v>Eligible n; lift/recall@capacity; expected churners; revenue exposure; reason coverage</x:v>
      </x:c>
      <x:c r="J23" s="9" t="str">
        <x:v>Cố định value tier BQ08; kết hợp OOF risk score với value/reason; capacity 5/10/20%; fairness</x:v>
      </x:c>
      <x:c r="K23" s="9" t="s">
        <x:v>296</x:v>
      </x:c>
      <x:c r="L23" s="9" t="str">
        <x:v>Phân P1–P4 và chọn nội dung liên hệ theo reason code</x:v>
      </x:c>
      <x:c r="M23" s="9" t="str">
        <x:v>Ranking + segment dictionary; OOF/holdout only; exposure proxy không phải CLV/ROI</x:v>
      </x:c>
      <x:c r="N23" s="11">
        <x:v>8</x:v>
      </x:c>
      <x:c r="O23" s="9" t="s">
        <x:v>105</x:v>
      </x:c>
      <x:c r="P23" s="9" t="s">
        <x:v>26</x:v>
      </x:c>
      <x:c r="Q23" s="13">
        <x:v>0</x:v>
      </x:c>
      <x:c r="R23" s="9" t="s">
        <x:v>172</x:v>
      </x:c>
      <x:c r="S23" s="9" t="s">
        <x:v>221</x:v>
      </x:c>
    </x:row>
    <x:row r="24" ht="72" customHeight="1">
      <x:c r="A24" s="8" t="s">
        <x:v>112</x:v>
      </x:c>
      <x:c r="B24" s="8" t="s">
        <x:v>297</x:v>
      </x:c>
      <x:c r="C24" s="8" t="s">
        <x:v>298</x:v>
      </x:c>
      <x:c r="D24" s="8" t="s">
        <x:v>162</x:v>
      </x:c>
      <x:c r="E24" s="8" t="s">
        <x:v>299</x:v>
      </x:c>
      <x:c r="F24" s="8" t="s">
        <x:v>300</x:v>
      </x:c>
      <x:c r="G24" s="8" t="s">
        <x:v>301</x:v>
      </x:c>
      <x:c r="H24" s="8" t="s">
        <x:v>302</x:v>
      </x:c>
      <x:c r="I24" s="8" t="s">
        <x:v>303</x:v>
      </x:c>
      <x:c r="J24" s="8" t="s">
        <x:v>304</x:v>
      </x:c>
      <x:c r="K24" s="8" t="s">
        <x:v>305</x:v>
      </x:c>
      <x:c r="L24" s="8" t="s">
        <x:v>306</x:v>
      </x:c>
      <x:c r="M24" s="8" t="s">
        <x:v>307</x:v>
      </x:c>
      <x:c r="N24" s="10">
        <x:v>10</x:v>
      </x:c>
      <x:c r="O24" s="8" t="s">
        <x:v>308</x:v>
      </x:c>
      <x:c r="P24" s="8" t="s">
        <x:v>26</x:v>
      </x:c>
      <x:c r="Q24" s="12">
        <x:v>0</x:v>
      </x:c>
      <x:c r="R24" s="8" t="s">
        <x:v>172</x:v>
      </x:c>
      <x:c r="S24" s="8" t="s">
        <x:v>221</x:v>
      </x:c>
    </x:row>
    <x:row r="25" ht="72" customHeight="1">
      <x:c r="A25" s="9" t="s">
        <x:v>128</x:v>
      </x:c>
      <x:c r="B25" s="9" t="s">
        <x:v>297</x:v>
      </x:c>
      <x:c r="C25" s="9" t="s">
        <x:v>298</x:v>
      </x:c>
      <x:c r="D25" s="9" t="s">
        <x:v>162</x:v>
      </x:c>
      <x:c r="E25" s="9" t="s">
        <x:v>309</x:v>
      </x:c>
      <x:c r="F25" s="9" t="s">
        <x:v>310</x:v>
      </x:c>
      <x:c r="G25" s="9" t="s">
        <x:v>165</x:v>
      </x:c>
      <x:c r="H25" s="9" t="s">
        <x:v>311</x:v>
      </x:c>
      <x:c r="I25" s="9" t="s">
        <x:v>312</x:v>
      </x:c>
      <x:c r="J25" s="9" t="s">
        <x:v>313</x:v>
      </x:c>
      <x:c r="K25" s="9" t="s">
        <x:v>314</x:v>
      </x:c>
      <x:c r="L25" s="9" t="s">
        <x:v>315</x:v>
      </x:c>
      <x:c r="M25" s="9" t="s">
        <x:v>316</x:v>
      </x:c>
      <x:c r="N25" s="11">
        <x:v>10</x:v>
      </x:c>
      <x:c r="O25" s="9" t="s">
        <x:v>112</x:v>
      </x:c>
      <x:c r="P25" s="9" t="s">
        <x:v>26</x:v>
      </x:c>
      <x:c r="Q25" s="13">
        <x:v>0</x:v>
      </x:c>
      <x:c r="R25" s="9" t="s">
        <x:v>172</x:v>
      </x:c>
      <x:c r="S25" s="9" t="s">
        <x:v>221</x:v>
      </x:c>
    </x:row>
    <x:row r="27" ht="24" customHeight="1">
      <x:c r="A27" s="56" t="str">
        <x:v>Analyst B — BQ Register restored</x:v>
      </x:c>
      <x:c r="B27" s="56"/>
      <x:c r="C27" s="56"/>
      <x:c r="D27" s="56"/>
      <x:c r="E27" s="56"/>
      <x:c r="F27" s="56"/>
      <x:c r="G27" s="56"/>
      <x:c r="H27" s="56"/>
      <x:c r="I27" s="56"/>
      <x:c r="J27" s="56"/>
      <x:c r="K27" s="56"/>
      <x:c r="L27" s="56"/>
      <x:c r="M27" s="56"/>
      <x:c r="N27" s="56"/>
      <x:c r="O27" s="56"/>
      <x:c r="P27" s="56"/>
      <x:c r="Q27" s="56"/>
      <x:c r="R27" s="56"/>
      <x:c r="S27" s="56"/>
    </x:row>
    <x:row r="28" ht="18" customHeight="1">
      <x:c r="A28" s="58" t="str">
        <x:v>Bảng liên kết với các dòng nguồn trong register chính: BQ03, BQ11–BQ15 và BQ17.</x:v>
      </x:c>
      <x:c r="B28" s="58"/>
      <x:c r="C28" s="58"/>
      <x:c r="D28" s="58"/>
      <x:c r="E28" s="58"/>
      <x:c r="F28" s="58"/>
      <x:c r="G28" s="58"/>
      <x:c r="H28" s="58"/>
      <x:c r="I28" s="58"/>
      <x:c r="J28" s="58"/>
      <x:c r="K28" s="58"/>
      <x:c r="L28" s="58"/>
      <x:c r="M28" s="58"/>
      <x:c r="N28" s="58"/>
      <x:c r="O28" s="58"/>
      <x:c r="P28" s="58"/>
      <x:c r="Q28" s="58"/>
      <x:c r="R28" s="58"/>
      <x:c r="S28" s="58"/>
    </x:row>
    <x:row r="29" ht="30" customHeight="1">
      <x:c r="A29" s="4" t="s">
        <x:v>145</x:v>
      </x:c>
      <x:c r="B29" s="5" t="s">
        <x:v>3</x:v>
      </x:c>
      <x:c r="C29" s="5" t="s">
        <x:v>146</x:v>
      </x:c>
      <x:c r="D29" s="5" t="s">
        <x:v>147</x:v>
      </x:c>
      <x:c r="E29" s="5" t="s">
        <x:v>148</x:v>
      </x:c>
      <x:c r="F29" s="5" t="s">
        <x:v>149</x:v>
      </x:c>
      <x:c r="G29" s="5" t="s">
        <x:v>150</x:v>
      </x:c>
      <x:c r="H29" s="5" t="s">
        <x:v>151</x:v>
      </x:c>
      <x:c r="I29" s="5" t="s">
        <x:v>152</x:v>
      </x:c>
      <x:c r="J29" s="5" t="s">
        <x:v>153</x:v>
      </x:c>
      <x:c r="K29" s="5" t="s">
        <x:v>154</x:v>
      </x:c>
      <x:c r="L29" s="5" t="s">
        <x:v>155</x:v>
      </x:c>
      <x:c r="M29" s="5" t="s">
        <x:v>156</x:v>
      </x:c>
      <x:c r="N29" s="5" t="s">
        <x:v>157</x:v>
      </x:c>
      <x:c r="O29" s="5" t="s">
        <x:v>12</x:v>
      </x:c>
      <x:c r="P29" s="5" t="s">
        <x:v>13</x:v>
      </x:c>
      <x:c r="Q29" s="5" t="s">
        <x:v>158</x:v>
      </x:c>
      <x:c r="R29" s="5" t="s">
        <x:v>159</x:v>
      </x:c>
      <x:c r="S29" s="6" t="s">
        <x:v>160</x:v>
      </x:c>
    </x:row>
    <x:row r="30" ht="72" customHeight="1">
      <x:c r="A30" s="8" t="str">
        <x:f>A8</x:f>
        <x:v>BQ03</x:v>
      </x:c>
      <x:c r="B30" s="8" t="str">
        <x:f>B8</x:f>
        <x:v>1. Tin dữ liệu</x:v>
      </x:c>
      <x:c r="C30" s="8" t="str">
        <x:f>C8</x:f>
        <x:v>Analyst B</x:v>
      </x:c>
      <x:c r="D30" s="8" t="str">
        <x:f>D8</x:f>
        <x:v>Must-have</x:v>
      </x:c>
      <x:c r="E30" s="8" t="str">
        <x:f>E8</x:f>
        <x:v>Khóa data dictionary và scoring-time availability</x:v>
      </x:c>
      <x:c r="F30" s="8" t="str">
        <x:f>F8</x:f>
        <x:v>Mười feature có hợp lệ và sẵn có tại thời điểm scoring không?</x:v>
      </x:c>
      <x:c r="G30" s="8" t="str">
        <x:f>G8</x:f>
        <x:v>All 10 base features</x:v>
      </x:c>
      <x:c r="H30" s="8" t="str">
        <x:f>H8</x:f>
        <x:v>QA: dtype, unit, range, timing, mapping</x:v>
      </x:c>
      <x:c r="I30" s="8" t="str">
        <x:f>I8</x:f>
        <x:v>Coverage; invalid/outlier; mapping; availability</x:v>
      </x:c>
      <x:c r="J30" s="8" t="str">
        <x:f>J8</x:f>
        <x:v>Schema/range audit; timing/leakage review; unit verification</x:v>
      </x:c>
      <x:c r="K30" s="8" t="str">
        <x:f>K8</x:f>
        <x:v>C03</x:v>
      </x:c>
      <x:c r="L30" s="8" t="str">
        <x:f>L8</x:f>
        <x:v>Chỉ feature hợp lệ mới vào pipeline</x:v>
      </x:c>
      <x:c r="M30" s="8" t="str">
        <x:f>M8</x:f>
        <x:v>Feature contract; 10/10 có owner và policy</x:v>
      </x:c>
      <x:c r="N30" s="10" t="n">
        <x:f>N8</x:f>
        <x:v>5</x:v>
      </x:c>
      <x:c r="O30" s="8" t="str">
        <x:f>O8</x:f>
        <x:v>BQ01</x:v>
      </x:c>
      <x:c r="P30" s="8" t="str">
        <x:f>P8</x:f>
        <x:v>Not Started</x:v>
      </x:c>
      <x:c r="Q30" s="12" t="n">
        <x:f>Q8</x:f>
        <x:v>0</x:v>
      </x:c>
      <x:c r="R30" s="8" t="str">
        <x:f>R8</x:f>
        <x:v>Pending</x:v>
      </x:c>
      <x:c r="S30" s="8" t="str">
        <x:f>S8</x:f>
        <x:v>Not Applicable</x:v>
      </x:c>
    </x:row>
    <x:row r="31" ht="72" customHeight="1">
      <x:c r="A31" s="8" t="str">
        <x:f>A16</x:f>
        <x:v>BQ11</x:v>
      </x:c>
      <x:c r="B31" s="8" t="str">
        <x:f>B16</x:f>
        <x:v>3. Giá trị/phí</x:v>
      </x:c>
      <x:c r="C31" s="8" t="str">
        <x:f>C16</x:f>
        <x:v>Analyst B</x:v>
      </x:c>
      <x:c r="D31" s="8" t="str">
        <x:f>D16</x:f>
        <x:v>Must-have</x:v>
      </x:c>
      <x:c r="E31" s="8" t="str">
        <x:f>E16</x:f>
        <x:v>Thiết kế payment support có fairness guardrail</x:v>
      </x:c>
      <x:c r="F31" s="8" t="str">
        <x:f>F16</x:f>
        <x:v>Credit segment có khác biệt churn sau khi xét revenue/charge không?</x:v>
      </x:c>
      <x:c r="G31" s="8" t="str">
        <x:f>G16</x:f>
        <x:v>CreditRating; MonthlyRevenue; TotalRecurringCharge</x:v>
      </x:c>
      <x:c r="H31" s="8" t="str">
        <x:f>H16</x:f>
        <x:v>Derived: ValueTier, ChargeBand; Target: Churn</x:v>
      </x:c>
      <x:c r="I31" s="8" t="str">
        <x:f>I16</x:f>
        <x:v>Rate/lift/CI; disparity; within-strata effect; n</x:v>
      </x:c>
      <x:c r="J31" s="8" t="str">
        <x:f>J16</x:f>
        <x:v>Mapping audit; Cramér's V; strata; interaction</x:v>
      </x:c>
      <x:c r="K31" s="8" t="str">
        <x:f>K16</x:f>
        <x:v>C11</x:v>
      </x:c>
      <x:c r="L31" s="8" t="str">
        <x:f>L16</x:f>
        <x:v>Payment reminder/flexibility nếu được phép</x:v>
      </x:c>
      <x:c r="M31" s="8" t="str">
        <x:f>M16</x:f>
        <x:v>Fairness note; prohibited use; category mapping rõ</x:v>
      </x:c>
      <x:c r="N31" s="10" t="n">
        <x:f>N16</x:f>
        <x:v>6</x:v>
      </x:c>
      <x:c r="O31" s="8" t="str">
        <x:f>O16</x:f>
        <x:v>BQ08–BQ09</x:v>
      </x:c>
      <x:c r="P31" s="8" t="str">
        <x:f>P16</x:f>
        <x:v>Not Started</x:v>
      </x:c>
      <x:c r="Q31" s="12" t="n">
        <x:f>Q16</x:f>
        <x:v>0</x:v>
      </x:c>
      <x:c r="R31" s="8" t="str">
        <x:f>R16</x:f>
        <x:v>Pending</x:v>
      </x:c>
      <x:c r="S31" s="8" t="str">
        <x:f>S16</x:f>
        <x:v>Draft</x:v>
      </x:c>
    </x:row>
    <x:row r="32" ht="72" customHeight="1">
      <x:c r="A32" s="9" t="str">
        <x:f>A17</x:f>
        <x:v>BQ12</x:v>
      </x:c>
      <x:c r="B32" s="9" t="str">
        <x:f>B17</x:f>
        <x:v>4. Sử dụng/hành vi</x:v>
      </x:c>
      <x:c r="C32" s="9" t="str">
        <x:f>C17</x:f>
        <x:v>Analyst B</x:v>
      </x:c>
      <x:c r="D32" s="9" t="str">
        <x:f>D17</x:f>
        <x:v>Must-have</x:v>
      </x:c>
      <x:c r="E32" s="9" t="str">
        <x:f>E17</x:f>
        <x:v>Xác định low-engagement cohort</x:v>
      </x:c>
      <x:c r="F32" s="9" t="str">
        <x:f>F17</x:f>
        <x:v>Mức sử dụng hàng tháng liên quan thế nào đến churn?</x:v>
      </x:c>
      <x:c r="G32" s="9" t="str">
        <x:f>G17</x:f>
        <x:v>MonthlyMinutes; MonthsInService</x:v>
      </x:c>
      <x:c r="H32" s="9" t="str">
        <x:f>H17</x:f>
        <x:v>Derived: MinutesBand, TenureBand; Target: Churn</x:v>
      </x:c>
      <x:c r="I32" s="9" t="str">
        <x:f>I17</x:f>
        <x:v>Distribution; rate/lift/CI; n; median/IQR</x:v>
      </x:c>
      <x:c r="J32" s="9" t="str">
        <x:f>J17</x:f>
        <x:v>Usage bands; outlier sensitivity; tenure/value strata</x:v>
      </x:c>
      <x:c r="K32" s="9" t="str">
        <x:f>K17</x:f>
        <x:v>C12</x:v>
      </x:c>
      <x:c r="L32" s="9" t="str">
        <x:f>L17</x:f>
        <x:v>Re-engagement hoặc plan review</x:v>
      </x:c>
      <x:c r="M32" s="9" t="str">
        <x:f>M17</x:f>
        <x:v>Rate và volume tách riêng; band đủ mẫu</x:v>
      </x:c>
      <x:c r="N32" s="11" t="n">
        <x:f>N17</x:f>
        <x:v>6</x:v>
      </x:c>
      <x:c r="O32" s="9" t="str">
        <x:f>O17</x:f>
        <x:v>BQ02–BQ03</x:v>
      </x:c>
      <x:c r="P32" s="9" t="str">
        <x:f>P17</x:f>
        <x:v>Not Started</x:v>
      </x:c>
      <x:c r="Q32" s="13" t="n">
        <x:f>Q17</x:f>
        <x:v>0</x:v>
      </x:c>
      <x:c r="R32" s="9" t="str">
        <x:f>R17</x:f>
        <x:v>Pending</x:v>
      </x:c>
      <x:c r="S32" s="9" t="str">
        <x:f>S17</x:f>
        <x:v>Not Applicable</x:v>
      </x:c>
    </x:row>
    <x:row r="33" ht="72" customHeight="1">
      <x:c r="A33" s="8" t="str">
        <x:f>A18</x:f>
        <x:v>BQ13</x:v>
      </x:c>
      <x:c r="B33" s="8" t="str">
        <x:f>B18</x:f>
        <x:v>4. Sử dụng/hành vi</x:v>
      </x:c>
      <x:c r="C33" s="8" t="str">
        <x:f>C18</x:f>
        <x:v>Analyst B</x:v>
      </x:c>
      <x:c r="D33" s="8" t="str">
        <x:f>D18</x:f>
        <x:v>Must-have</x:v>
      </x:c>
      <x:c r="E33" s="8" t="str">
        <x:f>E18</x:f>
        <x:v>Khóa usage-decline trigger có lead time</x:v>
      </x:c>
      <x:c r="F33" s="8" t="str">
        <x:f>F18</x:f>
        <x:v>Giảm minutes có tạo trigger đủ risk, reach và lead time không?</x:v>
      </x:c>
      <x:c r="G33" s="8" t="str">
        <x:f>G18</x:f>
        <x:v>PercChangeMinutes; MonthlyMinutes</x:v>
      </x:c>
      <x:c r="H33" s="8" t="str">
        <x:f>H18</x:f>
        <x:v>Derived: UsageTrendBand; Target: Churn</x:v>
      </x:c>
      <x:c r="I33" s="8" t="str">
        <x:f>I18</x:f>
        <x:v>Churn rate/lift/CI; coverage; lead-time availability; threshold stability</x:v>
      </x:c>
      <x:c r="J33" s="8" t="str">
        <x:f>J18</x:f>
        <x:v>Bins quanh 0; risk × reach; threshold sensitivity; minimum-sample và timing checks</x:v>
      </x:c>
      <x:c r="K33" s="8" t="str">
        <x:f>K18</x:f>
        <x:v>C13</x:v>
      </x:c>
      <x:c r="L33" s="8" t="str">
        <x:f>L18</x:f>
        <x:v>Kích hoạt re-engagement/plan review</x:v>
      </x:c>
      <x:c r="M33" s="8" t="str">
        <x:f>M18</x:f>
        <x:v>Đơn vị/timing xác minh; trigger đủ risk, reach và lead time; không overfit</x:v>
      </x:c>
      <x:c r="N33" s="10" t="n">
        <x:f>N18</x:f>
        <x:v>7</x:v>
      </x:c>
      <x:c r="O33" s="8" t="str">
        <x:f>O18</x:f>
        <x:v>BQ12</x:v>
      </x:c>
      <x:c r="P33" s="8" t="str">
        <x:f>P18</x:f>
        <x:v>Not Started</x:v>
      </x:c>
      <x:c r="Q33" s="12" t="n">
        <x:f>Q18</x:f>
        <x:v>0</x:v>
      </x:c>
      <x:c r="R33" s="8" t="str">
        <x:f>R18</x:f>
        <x:v>Pending</x:v>
      </x:c>
      <x:c r="S33" s="8" t="str">
        <x:f>S18</x:f>
        <x:v>Draft</x:v>
      </x:c>
    </x:row>
    <x:row r="34" ht="72" customHeight="1">
      <x:c r="A34" s="9" t="str">
        <x:f>A19</x:f>
        <x:v>BQ14</x:v>
      </x:c>
      <x:c r="B34" s="9" t="str">
        <x:f>B19</x:f>
        <x:v>4. Sử dụng/hành vi</x:v>
      </x:c>
      <x:c r="C34" s="9" t="str">
        <x:f>C19</x:f>
        <x:v>Analyst B</x:v>
      </x:c>
      <x:c r="D34" s="9" t="str">
        <x:f>D19</x:f>
        <x:v>Must-have</x:v>
      </x:c>
      <x:c r="E34" s="9" t="str">
        <x:f>E19</x:f>
        <x:v>Khóa hoặc loại spend-decline trigger</x:v>
      </x:c>
      <x:c r="F34" s="9" t="str">
        <x:f>F19</x:f>
        <x:v>Giảm revenue có thêm thông tin ngoài value hiện tại không?</x:v>
      </x:c>
      <x:c r="G34" s="9" t="str">
        <x:f>G19</x:f>
        <x:v>PercChangeRevenues; MonthlyRevenue</x:v>
      </x:c>
      <x:c r="H34" s="9" t="str">
        <x:f>H19</x:f>
        <x:v>Derived: RevenueTrendBand, ValueTier; Target: Churn</x:v>
      </x:c>
      <x:c r="I34" s="9" t="str">
        <x:f>I19</x:f>
        <x:v>Churn rate/lift/CI; coverage; within-value difference; redundancy</x:v>
      </x:c>
      <x:c r="J34" s="9" t="str">
        <x:f>J19</x:f>
        <x:v>Trend bands; value strata; compare current revenue; tail và threshold sensitivity</x:v>
      </x:c>
      <x:c r="K34" s="9" t="str">
        <x:f>K19</x:f>
        <x:v>C14</x:v>
      </x:c>
      <x:c r="L34" s="9" t="str">
        <x:f>L19</x:f>
        <x:v>Bill/plan review hoặc combined trigger</x:v>
      </x:c>
      <x:c r="M34" s="9" t="str">
        <x:f>M19</x:f>
        <x:v>Chỉ giữ trigger nếu còn phân tách churn ngoài value hiện tại và timing hợp lệ</x:v>
      </x:c>
      <x:c r="N34" s="11" t="n">
        <x:f>N19</x:f>
        <x:v>7</x:v>
      </x:c>
      <x:c r="O34" s="9" t="str">
        <x:f>O19</x:f>
        <x:v>BQ08; BQ12</x:v>
      </x:c>
      <x:c r="P34" s="9" t="str">
        <x:f>P19</x:f>
        <x:v>Not Started</x:v>
      </x:c>
      <x:c r="Q34" s="13" t="n">
        <x:f>Q19</x:f>
        <x:v>0</x:v>
      </x:c>
      <x:c r="R34" s="9" t="str">
        <x:f>R19</x:f>
        <x:v>Pending</x:v>
      </x:c>
      <x:c r="S34" s="9" t="str">
        <x:f>S19</x:f>
        <x:v>Draft</x:v>
      </x:c>
    </x:row>
    <x:row r="35" ht="72" customHeight="1">
      <x:c r="A35" s="8" t="str">
        <x:f>A20</x:f>
        <x:v>BQ15</x:v>
      </x:c>
      <x:c r="B35" s="8" t="str">
        <x:f>B20</x:f>
        <x:v>4. Sử dụng/hành vi</x:v>
      </x:c>
      <x:c r="C35" s="8" t="str">
        <x:f>C20</x:f>
        <x:v>Analyst B</x:v>
      </x:c>
      <x:c r="D35" s="8" t="str">
        <x:f>D20</x:f>
        <x:v>Must-have</x:v>
      </x:c>
      <x:c r="E35" s="8" t="str">
        <x:f>E20</x:f>
        <x:v>Khóa disengagement reason code ổn định</x:v>
      </x:c>
      <x:c r="F35" s="8" t="str">
        <x:f>F20</x:f>
        <x:v>Kết hợp usage, change signals và peak pattern có tạo reason code ổn định không?</x:v>
      </x:c>
      <x:c r="G35" s="8" t="str">
        <x:f>G20</x:f>
        <x:v>MonthlyMinutes; PercChangeMinutes; PercChangeRevenues; PeakCallsInOut; MonthsInService</x:v>
      </x:c>
      <x:c r="H35" s="8" t="str">
        <x:f>H20</x:f>
        <x:v>Derived: DisengagementFlag, trend bands, TenureBand; Target: Churn</x:v>
      </x:c>
      <x:c r="I35" s="8" t="str">
        <x:f>I20</x:f>
        <x:v>Coverage; churn rate/lift/CI; overlap; incremental risk difference; segment size</x:v>
      </x:c>
      <x:c r="J35" s="8" t="str">
        <x:f>J20</x:f>
        <x:v>Prespecified reason-code rules; overlap matrix; tenure/value strata; sensitivity và minimum-cell</x:v>
      </x:c>
      <x:c r="K35" s="8" t="str">
        <x:f>K20</x:f>
        <x:v>C15</x:v>
      </x:c>
      <x:c r="L35" s="8" t="str">
        <x:f>L20</x:f>
        <x:v>Outbound trigger ưu tiên</x:v>
      </x:c>
      <x:c r="M35" s="8" t="str">
        <x:f>M20</x:f>
        <x:v>Báo risk + reach; PeakCalls chỉ giữ khi cải thiện phân tách và đủ mẫu</x:v>
      </x:c>
      <x:c r="N35" s="10" t="n">
        <x:f>N20</x:f>
        <x:v>8</x:v>
      </x:c>
      <x:c r="O35" s="8" t="str">
        <x:f>O20</x:f>
        <x:v>BQ04; BQ12–BQ14</x:v>
      </x:c>
      <x:c r="P35" s="8" t="str">
        <x:f>P20</x:f>
        <x:v>Not Started</x:v>
      </x:c>
      <x:c r="Q35" s="12" t="n">
        <x:f>Q20</x:f>
        <x:v>0</x:v>
      </x:c>
      <x:c r="R35" s="8" t="str">
        <x:f>R20</x:f>
        <x:v>Pending</x:v>
      </x:c>
      <x:c r="S35" s="8" t="str">
        <x:f>S20</x:f>
        <x:v>Draft</x:v>
      </x:c>
    </x:row>
    <x:row r="36" ht="72" customHeight="1">
      <x:c r="A36" s="8" t="str">
        <x:f>A22</x:f>
        <x:v>BQ17</x:v>
      </x:c>
      <x:c r="B36" s="8" t="str">
        <x:f>B22</x:f>
        <x:v>5. Mô hình dự đoán</x:v>
      </x:c>
      <x:c r="C36" s="8" t="str">
        <x:f>C22</x:f>
        <x:v>Analyst B</x:v>
      </x:c>
      <x:c r="D36" s="8" t="str">
        <x:f>D22</x:f>
        <x:v>Must-have</x:v>
      </x:c>
      <x:c r="E36" s="8" t="str">
        <x:f>E22</x:f>
        <x:v>Khóa mô hình dự đoán, CatBoost depth và model card</x:v>
      </x:c>
      <x:c r="F36" s="8" t="str">
        <x:f>F22</x:f>
        <x:v>Depth nào tối ưu validation loss và xếp hạng có đáng tin không?</x:v>
      </x:c>
      <x:c r="G36" s="8" t="str">
        <x:f>G22</x:f>
        <x:v>All 10 base features</x:v>
      </x:c>
      <x:c r="H36" s="8" t="str">
        <x:f>H22</x:f>
        <x:v>Target: Churn; Output: RiskScore</x:v>
      </x:c>
      <x:c r="I36" s="8" t="str">
        <x:f>I22</x:f>
        <x:v>Train/valid log loss; ROC/PR; calibration; lift@5/10/20%</x:v>
      </x:c>
      <x:c r="J36" s="8" t="str">
        <x:f>J22</x:f>
        <x:v>Stratified CV/holdout; native cat features; early stopping</x:v>
      </x:c>
      <x:c r="K36" s="8" t="str">
        <x:f>K22</x:f>
        <x:v>C17</x:v>
      </x:c>
      <x:c r="L36" s="8" t="str">
        <x:f>L22</x:f>
        <x:v>Tạo risk score không cần manual encoding</x:v>
      </x:c>
      <x:c r="M36" s="8" t="str">
        <x:f>M22</x:f>
        <x:v>Depth chọn bằng OOF/valid; metrics từ unseen predictions</x:v>
      </x:c>
      <x:c r="N36" s="10" t="n">
        <x:f>N22</x:f>
        <x:v>10</x:v>
      </x:c>
      <x:c r="O36" s="8" t="str">
        <x:f>O22</x:f>
        <x:v>BQ16</x:v>
      </x:c>
      <x:c r="P36" s="8" t="str">
        <x:f>P22</x:f>
        <x:v>Not Started</x:v>
      </x:c>
      <x:c r="Q36" s="12" t="n">
        <x:f>Q22</x:f>
        <x:v>0</x:v>
      </x:c>
      <x:c r="R36" s="8" t="str">
        <x:f>R22</x:f>
        <x:v>Pending</x:v>
      </x:c>
      <x:c r="S36" s="8" t="str">
        <x:f>S22</x:f>
        <x:v>Not Applicable</x:v>
      </x:c>
    </x:row>
  </x:sheetData>
  <x:conditionalFormatting sqref="D6:D25">
    <x:cfRule type="containsText" dxfId="10" priority="4" operator="containsText" text="Must-have"/>
    <x:cfRule type="containsText" dxfId="9" priority="5" operator="containsText" text="Should-have"/>
  </x:conditionalFormatting>
  <x:conditionalFormatting sqref="P6:P25">
    <x:cfRule type="containsText" dxfId="8" priority="1" operator="containsText" text="Done"/>
    <x:cfRule type="containsText" dxfId="7" priority="2" operator="containsText" text="In Progress"/>
    <x:cfRule type="containsText" dxfId="6" priority="3" operator="containsText" text="Blocked"/>
  </x:conditionalFormatting>
  <x:dataValidations count="3">
    <x:dataValidation type="list" sqref="P6:P25">
      <x:formula1>"Not Started,In Progress,Blocked,Done"</x:formula1>
    </x:dataValidation>
    <x:dataValidation type="list" sqref="R6:R25">
      <x:formula1>"Pending,Observed,Supported,Validated"</x:formula1>
    </x:dataValidation>
    <x:dataValidation type="list" sqref="S6:S25">
      <x:formula1>"Not Applicable,Draft,Ready,Testing"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097A7"/>
  </x:sheetPr>
  <x:sheetViews>
    <x:sheetView showGridLines="0" workbookViewId="0">
      <x:pane xSplit="5" ySplit="5" topLeftCell="F6" activePane="bottomRight" state="frozen"/>
    </x:sheetView>
  </x:sheetViews>
  <x:sheetFormatPr defaultRowHeight="13.800000190734863"/>
  <x:cols>
    <x:col min="1" max="1" width="20" customWidth="1"/>
    <x:col min="2" max="2" width="18" customWidth="1"/>
    <x:col min="3" max="4" width="11" customWidth="1"/>
    <x:col min="5" max="5" width="13" customWidth="1"/>
    <x:col min="6" max="20" width="7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 ht="21">
      <x:c r="A2" s="2" t="s">
        <x:v>317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3" t="s">
        <x:v>318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4" t="s">
        <x:v>319</x:v>
      </x:c>
      <x:c r="B5" s="5" t="s">
        <x:v>320</x:v>
      </x:c>
      <x:c r="C5" s="5" t="s">
        <x:v>321</x:v>
      </x:c>
      <x:c r="D5" s="5" t="s">
        <x:v>322</x:v>
      </x:c>
      <x:c r="E5" s="5" t="s">
        <x:v>146</x:v>
      </x:c>
      <x:c r="F5" s="5" t="s">
        <x:v>323</x:v>
      </x:c>
      <x:c r="G5" s="5" t="s">
        <x:v>324</x:v>
      </x:c>
      <x:c r="H5" s="5" t="s">
        <x:v>325</x:v>
      </x:c>
      <x:c r="I5" s="5" t="s">
        <x:v>326</x:v>
      </x:c>
      <x:c r="J5" s="5" t="s">
        <x:v>327</x:v>
      </x:c>
      <x:c r="K5" s="5" t="s">
        <x:v>328</x:v>
      </x:c>
      <x:c r="L5" s="5" t="s">
        <x:v>329</x:v>
      </x:c>
      <x:c r="M5" s="5" t="s">
        <x:v>330</x:v>
      </x:c>
      <x:c r="N5" s="5" t="s">
        <x:v>331</x:v>
      </x:c>
      <x:c r="O5" s="5" t="s">
        <x:v>332</x:v>
      </x:c>
      <x:c r="P5" s="5" t="s">
        <x:v>333</x:v>
      </x:c>
      <x:c r="Q5" s="5" t="s">
        <x:v>334</x:v>
      </x:c>
      <x:c r="R5" s="5" t="s">
        <x:v>335</x:v>
      </x:c>
      <x:c r="S5" s="5" t="s">
        <x:v>336</x:v>
      </x:c>
      <x:c r="T5" s="6" t="s">
        <x:v>337</x:v>
      </x:c>
    </x:row>
    <x:row r="6" ht="25.950000762939453" customHeight="1">
      <x:c r="A6" s="7" t="s">
        <x:v>338</x:v>
      </x:c>
      <x:c r="B6" s="7" t="s">
        <x:v>18</x:v>
      </x:c>
      <x:c r="C6" s="7">
        <x:v>1</x:v>
      </x:c>
      <x:c r="D6" s="7">
        <x:v>1</x:v>
      </x:c>
      <x:c r="E6" s="7" t="s">
        <x:v>161</x:v>
      </x:c>
      <x:c r="F6" s="16" t="s">
        <x:v>18</x:v>
      </x:c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</x:row>
    <x:row r="7" ht="25.950000762939453" customHeight="1">
      <x:c r="A7" s="1" t="s">
        <x:v>338</x:v>
      </x:c>
      <x:c r="B7" s="1" t="s">
        <x:v>29</x:v>
      </x:c>
      <x:c r="C7" s="1">
        <x:v>2</x:v>
      </x:c>
      <x:c r="D7" s="1">
        <x:v>2</x:v>
      </x:c>
      <x:c r="E7" s="1" t="s">
        <x:v>161</x:v>
      </x:c>
      <x:c r="F7" s="15"/>
      <x:c r="G7" s="16" t="s">
        <x:v>29</x:v>
      </x:c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</x:row>
    <x:row r="8" ht="25.950000762939453" customHeight="1">
      <x:c r="A8" s="7" t="s">
        <x:v>339</x:v>
      </x:c>
      <x:c r="B8" s="7" t="s">
        <x:v>32</x:v>
      </x:c>
      <x:c r="C8" s="7">
        <x:v>1</x:v>
      </x:c>
      <x:c r="D8" s="7">
        <x:v>2</x:v>
      </x:c>
      <x:c r="E8" s="7" t="s">
        <x:v>182</x:v>
      </x:c>
      <x:c r="F8" s="17" t="s">
        <x:v>32</x:v>
      </x:c>
      <x:c r="G8" s="17" t="s">
        <x:v>32</x:v>
      </x:c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</x:row>
    <x:row r="9" ht="25.950000762939453" customHeight="1">
      <x:c r="A9" s="1" t="s">
        <x:v>340</x:v>
      </x:c>
      <x:c r="B9" s="1" t="s">
        <x:v>39</x:v>
      </x:c>
      <x:c r="C9" s="1">
        <x:v>3</x:v>
      </x:c>
      <x:c r="D9" s="1">
        <x:v>3</x:v>
      </x:c>
      <x:c r="E9" s="1" t="s">
        <x:v>161</x:v>
      </x:c>
      <x:c r="F9" s="15"/>
      <x:c r="G9" s="15"/>
      <x:c r="H9" s="16" t="s">
        <x:v>39</x:v>
      </x:c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</x:row>
    <x:row r="10" ht="25.950000762939453" customHeight="1">
      <x:c r="A10" s="7" t="str">
        <x:v>Lifecycle actionability</x:v>
      </x:c>
      <x:c r="B10" s="7" t="s">
        <x:v>49</x:v>
      </x:c>
      <x:c r="C10" s="7">
        <x:v>4</x:v>
      </x:c>
      <x:c r="D10" s="7">
        <x:v>4</x:v>
      </x:c>
      <x:c r="E10" s="7" t="s">
        <x:v>161</x:v>
      </x:c>
      <x:c r="F10" s="14"/>
      <x:c r="G10" s="14"/>
      <x:c r="H10" s="14"/>
      <x:c r="I10" s="16" t="s">
        <x:v>49</x:v>
      </x:c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</x:row>
    <x:row r="11" ht="25.950000762939453" customHeight="1">
      <x:c r="A11" s="1" t="s">
        <x:v>341</x:v>
      </x:c>
      <x:c r="B11" s="1" t="s">
        <x:v>57</x:v>
      </x:c>
      <x:c r="C11" s="1">
        <x:v>5</x:v>
      </x:c>
      <x:c r="D11" s="1">
        <x:v>5</x:v>
      </x:c>
      <x:c r="E11" s="1" t="s">
        <x:v>161</x:v>
      </x:c>
      <x:c r="F11" s="15"/>
      <x:c r="G11" s="15"/>
      <x:c r="H11" s="15"/>
      <x:c r="I11" s="15"/>
      <x:c r="J11" s="16" t="s">
        <x:v>57</x:v>
      </x:c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</x:row>
    <x:row r="12" ht="25.950000762939453" customHeight="1">
      <x:c r="A12" s="50" t="s">
        <x:v>342</x:v>
      </x:c>
      <x:c r="B12" s="50" t="s">
        <x:v>66</x:v>
      </x:c>
      <x:c r="C12" s="7">
        <x:v>6</x:v>
      </x:c>
      <x:c r="D12" s="7">
        <x:v>6</x:v>
      </x:c>
      <x:c r="E12" s="7" t="s">
        <x:v>161</x:v>
      </x:c>
      <x:c r="F12" s="14"/>
      <x:c r="G12" s="14"/>
      <x:c r="H12" s="14"/>
      <x:c r="I12" s="14"/>
      <x:c r="J12" s="14"/>
      <x:c r="K12" s="51" t="s">
        <x:v>66</x:v>
      </x:c>
      <x:c r="L12" s="14"/>
      <x:c r="M12" s="14"/>
      <x:c r="N12" s="14"/>
      <x:c r="O12" s="14"/>
      <x:c r="P12" s="14"/>
      <x:c r="Q12" s="14"/>
      <x:c r="R12" s="14"/>
      <x:c r="S12" s="14"/>
      <x:c r="T12" s="14"/>
    </x:row>
    <x:row r="13" ht="25.950000762939453" customHeight="1">
      <x:c r="A13" s="1" t="s">
        <x:v>343</x:v>
      </x:c>
      <x:c r="B13" s="1" t="s">
        <x:v>74</x:v>
      </x:c>
      <x:c r="C13" s="1">
        <x:v>7</x:v>
      </x:c>
      <x:c r="D13" s="1">
        <x:v>7</x:v>
      </x:c>
      <x:c r="E13" s="1" t="s">
        <x:v>161</x:v>
      </x:c>
      <x:c r="F13" s="15"/>
      <x:c r="G13" s="15"/>
      <x:c r="H13" s="15"/>
      <x:c r="I13" s="15"/>
      <x:c r="J13" s="15"/>
      <x:c r="K13" s="15"/>
      <x:c r="L13" s="16" t="s">
        <x:v>74</x:v>
      </x:c>
      <x:c r="M13" s="15"/>
      <x:c r="N13" s="15"/>
      <x:c r="O13" s="15"/>
      <x:c r="P13" s="15"/>
      <x:c r="Q13" s="15"/>
      <x:c r="R13" s="15"/>
      <x:c r="S13" s="15"/>
      <x:c r="T13" s="15"/>
    </x:row>
    <x:row r="14" ht="25.950000762939453" customHeight="1">
      <x:c r="A14" s="7" t="s">
        <x:v>343</x:v>
      </x:c>
      <x:c r="B14" s="7" t="s">
        <x:v>231</x:v>
      </x:c>
      <x:c r="C14" s="7">
        <x:v>8</x:v>
      </x:c>
      <x:c r="D14" s="7">
        <x:v>8</x:v>
      </x:c>
      <x:c r="E14" s="7" t="s">
        <x:v>161</x:v>
      </x:c>
      <x:c r="F14" s="14"/>
      <x:c r="G14" s="14"/>
      <x:c r="H14" s="14"/>
      <x:c r="I14" s="14"/>
      <x:c r="J14" s="14"/>
      <x:c r="K14" s="14"/>
      <x:c r="L14" s="14"/>
      <x:c r="M14" s="16" t="s">
        <x:v>231</x:v>
      </x:c>
      <x:c r="N14" s="14"/>
      <x:c r="O14" s="14"/>
      <x:c r="P14" s="14"/>
      <x:c r="Q14" s="14"/>
      <x:c r="R14" s="14"/>
      <x:c r="S14" s="14"/>
      <x:c r="T14" s="14"/>
    </x:row>
    <x:row r="15" ht="25.950000762939453" customHeight="1">
      <x:c r="A15" s="1" t="s">
        <x:v>343</x:v>
      </x:c>
      <x:c r="B15" s="1" t="s">
        <x:v>241</x:v>
      </x:c>
      <x:c r="C15" s="1">
        <x:v>8</x:v>
      </x:c>
      <x:c r="D15" s="1">
        <x:v>8</x:v>
      </x:c>
      <x:c r="E15" s="1" t="s">
        <x:v>161</x:v>
      </x:c>
      <x:c r="F15" s="15"/>
      <x:c r="G15" s="15"/>
      <x:c r="H15" s="15"/>
      <x:c r="I15" s="15"/>
      <x:c r="J15" s="15"/>
      <x:c r="K15" s="15"/>
      <x:c r="L15" s="15"/>
      <x:c r="M15" s="16" t="s">
        <x:v>241</x:v>
      </x:c>
      <x:c r="N15" s="15"/>
      <x:c r="O15" s="15"/>
      <x:c r="P15" s="15"/>
      <x:c r="Q15" s="15"/>
      <x:c r="R15" s="15"/>
      <x:c r="S15" s="15"/>
      <x:c r="T15" s="15"/>
    </x:row>
    <x:row r="16" ht="25.950000762939453" customHeight="1">
      <x:c r="A16" s="7" t="s">
        <x:v>344</x:v>
      </x:c>
      <x:c r="B16" s="7" t="s">
        <x:v>77</x:v>
      </x:c>
      <x:c r="C16" s="7">
        <x:v>7</x:v>
      </x:c>
      <x:c r="D16" s="7">
        <x:v>8</x:v>
      </x:c>
      <x:c r="E16" s="7" t="s">
        <x:v>182</x:v>
      </x:c>
      <x:c r="F16" s="14"/>
      <x:c r="G16" s="14"/>
      <x:c r="H16" s="14"/>
      <x:c r="I16" s="14"/>
      <x:c r="J16" s="14"/>
      <x:c r="K16" s="14"/>
      <x:c r="L16" s="17" t="s">
        <x:v>77</x:v>
      </x:c>
      <x:c r="M16" s="17" t="s">
        <x:v>77</x:v>
      </x:c>
      <x:c r="N16" s="14"/>
      <x:c r="O16" s="14"/>
      <x:c r="P16" s="14"/>
      <x:c r="Q16" s="14"/>
      <x:c r="R16" s="14"/>
      <x:c r="S16" s="14"/>
      <x:c r="T16" s="14"/>
    </x:row>
    <x:row r="17" ht="25.950000762939453" customHeight="1">
      <x:c r="A17" s="1" t="s">
        <x:v>345</x:v>
      </x:c>
      <x:c r="B17" s="1" t="s">
        <x:v>42</x:v>
      </x:c>
      <x:c r="C17" s="1">
        <x:v>3</x:v>
      </x:c>
      <x:c r="D17" s="1">
        <x:v>3</x:v>
      </x:c>
      <x:c r="E17" s="1" t="s">
        <x:v>182</x:v>
      </x:c>
      <x:c r="F17" s="15"/>
      <x:c r="G17" s="15"/>
      <x:c r="H17" s="17" t="s">
        <x:v>42</x:v>
      </x:c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</x:row>
    <x:row r="18" ht="25.950000762939453" customHeight="1">
      <x:c r="A18" s="7" t="s">
        <x:v>346</x:v>
      </x:c>
      <x:c r="B18" s="7" t="s">
        <x:v>50</x:v>
      </x:c>
      <x:c r="C18" s="7">
        <x:v>4</x:v>
      </x:c>
      <x:c r="D18" s="7">
        <x:v>4</x:v>
      </x:c>
      <x:c r="E18" s="7" t="s">
        <x:v>182</x:v>
      </x:c>
      <x:c r="F18" s="14"/>
      <x:c r="G18" s="14"/>
      <x:c r="H18" s="14"/>
      <x:c r="I18" s="17" t="s">
        <x:v>50</x:v>
      </x:c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</x:row>
    <x:row r="19" ht="25.950000762939453" customHeight="1">
      <x:c r="A19" s="1" t="s">
        <x:v>346</x:v>
      </x:c>
      <x:c r="B19" s="1" t="s">
        <x:v>60</x:v>
      </x:c>
      <x:c r="C19" s="1">
        <x:v>5</x:v>
      </x:c>
      <x:c r="D19" s="1">
        <x:v>5</x:v>
      </x:c>
      <x:c r="E19" s="1" t="s">
        <x:v>182</x:v>
      </x:c>
      <x:c r="F19" s="15"/>
      <x:c r="G19" s="15"/>
      <x:c r="H19" s="15"/>
      <x:c r="I19" s="15"/>
      <x:c r="J19" s="17" t="s">
        <x:v>60</x:v>
      </x:c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</x:row>
    <x:row r="20" ht="25.950000762939453" customHeight="1">
      <x:c r="A20" s="7" t="s">
        <x:v>346</x:v>
      </x:c>
      <x:c r="B20" s="7" t="s">
        <x:v>67</x:v>
      </x:c>
      <x:c r="C20" s="7">
        <x:v>6</x:v>
      </x:c>
      <x:c r="D20" s="7">
        <x:v>6</x:v>
      </x:c>
      <x:c r="E20" s="7" t="s">
        <x:v>182</x:v>
      </x:c>
      <x:c r="F20" s="14"/>
      <x:c r="G20" s="14"/>
      <x:c r="H20" s="14"/>
      <x:c r="I20" s="14"/>
      <x:c r="J20" s="14"/>
      <x:c r="K20" s="17" t="s">
        <x:v>67</x:v>
      </x:c>
      <x:c r="L20" s="14"/>
      <x:c r="M20" s="14"/>
      <x:c r="N20" s="14"/>
      <x:c r="O20" s="14"/>
      <x:c r="P20" s="14"/>
      <x:c r="Q20" s="14"/>
      <x:c r="R20" s="14"/>
      <x:c r="S20" s="14"/>
      <x:c r="T20" s="14"/>
    </x:row>
    <x:row r="21" ht="25.950000762939453" customHeight="1">
      <x:c r="A21" s="1" t="str">
        <x:v>Evidence synthesis</x:v>
      </x:c>
      <x:c r="B21" s="1" t="s">
        <x:v>90</x:v>
      </x:c>
      <x:c r="C21" s="1">
        <x:v>9</x:v>
      </x:c>
      <x:c r="D21" s="1">
        <x:v>10</x:v>
      </x:c>
      <x:c r="E21" s="1" t="s">
        <x:v>161</x:v>
      </x:c>
      <x:c r="F21" s="15"/>
      <x:c r="G21" s="15"/>
      <x:c r="H21" s="15"/>
      <x:c r="I21" s="15"/>
      <x:c r="J21" s="15"/>
      <x:c r="K21" s="15"/>
      <x:c r="L21" s="15"/>
      <x:c r="M21" s="15"/>
      <x:c r="N21" s="16" t="s">
        <x:v>90</x:v>
      </x:c>
      <x:c r="O21" s="16" t="s">
        <x:v>90</x:v>
      </x:c>
      <x:c r="P21" s="15"/>
      <x:c r="Q21" s="15"/>
      <x:c r="R21" s="15"/>
      <x:c r="S21" s="15"/>
      <x:c r="T21" s="15"/>
    </x:row>
    <x:row r="22" ht="25.950000762939453" customHeight="1">
      <x:c r="A22" s="7" t="str">
        <x:v>Predictive model</x:v>
      </x:c>
      <x:c r="B22" s="7" t="s">
        <x:v>96</x:v>
      </x:c>
      <x:c r="C22" s="7">
        <x:v>9</x:v>
      </x:c>
      <x:c r="D22" s="7">
        <x:v>11</x:v>
      </x:c>
      <x:c r="E22" s="7" t="s">
        <x:v>182</x:v>
      </x:c>
      <x:c r="F22" s="14"/>
      <x:c r="G22" s="14"/>
      <x:c r="H22" s="14"/>
      <x:c r="I22" s="14"/>
      <x:c r="J22" s="14"/>
      <x:c r="K22" s="14"/>
      <x:c r="L22" s="14"/>
      <x:c r="M22" s="14"/>
      <x:c r="N22" s="17" t="s">
        <x:v>96</x:v>
      </x:c>
      <x:c r="O22" s="17" t="s">
        <x:v>96</x:v>
      </x:c>
      <x:c r="P22" s="17" t="s">
        <x:v>96</x:v>
      </x:c>
      <x:c r="Q22" s="14"/>
      <x:c r="R22" s="14"/>
      <x:c r="S22" s="14"/>
      <x:c r="T22" s="14"/>
    </x:row>
    <x:row r="23" ht="13.800000190734863" customHeight="1">
      <x:c r="A23" s="1" t="str">
        <x:v>Retention priority</x:v>
      </x:c>
      <x:c r="B23" s="1" t="s">
        <x:v>109</x:v>
      </x:c>
      <x:c r="C23" s="1">
        <x:v>11</x:v>
      </x:c>
      <x:c r="D23" s="1">
        <x:v>12</x:v>
      </x:c>
      <x:c r="E23" s="1" t="s">
        <x:v>161</x:v>
      </x:c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6" t="s">
        <x:v>109</x:v>
      </x:c>
      <x:c r="Q23" s="16" t="s">
        <x:v>109</x:v>
      </x:c>
      <x:c r="R23" s="15"/>
      <x:c r="S23" s="15"/>
      <x:c r="T23" s="15"/>
    </x:row>
    <x:row r="24" ht="25.950000762939453" customHeight="1">
      <x:c r="A24" s="7" t="s">
        <x:v>347</x:v>
      </x:c>
      <x:c r="B24" s="7" t="s">
        <x:v>112</x:v>
      </x:c>
      <x:c r="C24" s="7">
        <x:v>12</x:v>
      </x:c>
      <x:c r="D24" s="7">
        <x:v>13</x:v>
      </x:c>
      <x:c r="E24" s="7" t="s">
        <x:v>298</x:v>
      </x:c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8" t="s">
        <x:v>112</x:v>
      </x:c>
      <x:c r="R24" s="18" t="s">
        <x:v>112</x:v>
      </x:c>
      <x:c r="S24" s="14"/>
      <x:c r="T24" s="14"/>
    </x:row>
    <x:row r="25" ht="25.950000762939453" customHeight="1">
      <x:c r="A25" s="1" t="s">
        <x:v>348</x:v>
      </x:c>
      <x:c r="B25" s="1" t="s">
        <x:v>128</x:v>
      </x:c>
      <x:c r="C25" s="1">
        <x:v>14</x:v>
      </x:c>
      <x:c r="D25" s="1">
        <x:v>14</x:v>
      </x:c>
      <x:c r="E25" s="1" t="s">
        <x:v>298</x:v>
      </x:c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8" t="s">
        <x:v>128</x:v>
      </x:c>
      <x:c r="T25" s="15"/>
    </x:row>
    <x:row r="26" ht="25.950000762939453" customHeight="1">
      <x:c r="A26" s="7" t="s">
        <x:v>135</x:v>
      </x:c>
      <x:c r="B26" s="7" t="s">
        <x:v>349</x:v>
      </x:c>
      <x:c r="C26" s="7">
        <x:v>15</x:v>
      </x:c>
      <x:c r="D26" s="7">
        <x:v>15</x:v>
      </x:c>
      <x:c r="E26" s="7" t="s">
        <x:v>298</x:v>
      </x:c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8" t="s">
        <x:v>350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D6A600"/>
  </x:sheetPr>
  <x:sheetViews>
    <x:sheetView showGridLines="0" workbookViewId="0">
      <x:pane ySplit="5" topLeftCell="A6" activePane="bottomLeft" state="frozen"/>
    </x:sheetView>
  </x:sheetViews>
  <x:sheetFormatPr defaultRowHeight="13.800000190734863"/>
  <x:cols>
    <x:col min="1" max="1" width="24" customWidth="1"/>
    <x:col min="2" max="2" width="16" customWidth="1"/>
    <x:col min="3" max="3" width="20" customWidth="1"/>
    <x:col min="4" max="4" width="17" customWidth="1"/>
    <x:col min="5" max="5" width="18" customWidth="1"/>
    <x:col min="6" max="6" width="22" customWidth="1"/>
    <x:col min="7" max="7" width="18" customWidth="1"/>
    <x:col min="8" max="8" width="26" customWidth="1"/>
    <x:col min="9" max="9" width="38" customWidth="1"/>
    <x:col min="10" max="10" width="16" customWidth="1"/>
    <x:col min="11" max="11" width="3" customWidth="1"/>
    <x:col min="12" max="12" width="5" customWidth="1"/>
    <x:col min="13" max="13" width="25" customWidth="1"/>
    <x:col min="14" max="14" width="32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1">
      <x:c r="A2" s="2" t="s">
        <x:v>351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">
        <x:v>352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9" t="s">
        <x:v>353</x:v>
      </x:c>
      <x:c r="B5" s="20" t="s">
        <x:v>354</x:v>
      </x:c>
      <x:c r="C5" s="20" t="s">
        <x:v>355</x:v>
      </x:c>
      <x:c r="D5" s="21" t="s">
        <x:v>356</x:v>
      </x:c>
      <x:c r="E5" s="9"/>
      <x:c r="F5" s="19" t="s">
        <x:v>357</x:v>
      </x:c>
      <x:c r="G5" s="20" t="s">
        <x:v>358</x:v>
      </x:c>
      <x:c r="H5" s="20" t="s">
        <x:v>359</x:v>
      </x:c>
      <x:c r="I5" s="20" t="s">
        <x:v>360</x:v>
      </x:c>
      <x:c r="J5" s="21" t="s">
        <x:v>13</x:v>
      </x:c>
      <x:c r="K5" s="9"/>
      <x:c r="L5" s="19" t="s">
        <x:v>361</x:v>
      </x:c>
      <x:c r="M5" s="20" t="s">
        <x:v>362</x:v>
      </x:c>
      <x:c r="N5" s="21" t="s">
        <x:v>363</x:v>
      </x:c>
    </x:row>
    <x:row r="6" ht="37.95000076293945" customHeight="1">
      <x:c r="A6" s="22" t="s">
        <x:v>364</x:v>
      </x:c>
      <x:c r="B6" s="8" t="n">
        <x:f>COUNTA('BQ REGISTER'!A6:A25)</x:f>
        <x:v>20</x:v>
      </x:c>
      <x:c r="C6" s="8">
        <x:v>20</x:v>
      </x:c>
      <x:c r="D6" s="23" t="n">
        <x:f t="shared" ref="D6:D11" si="0">B6/C6</x:f>
        <x:v>1</x:v>
      </x:c>
      <x:c r="E6" s="9"/>
      <x:c r="F6" s="24" t="s">
        <x:v>46</x:v>
      </x:c>
      <x:c r="G6" s="25" t="s">
        <x:v>324</x:v>
      </x:c>
      <x:c r="H6" s="25" t="s">
        <x:v>365</x:v>
      </x:c>
      <x:c r="I6" s="25" t="s">
        <x:v>366</x:v>
      </x:c>
      <x:c r="J6" s="26" t="s">
        <x:v>26</x:v>
      </x:c>
      <x:c r="K6" s="9"/>
      <x:c r="L6" s="27">
        <x:v>1</x:v>
      </x:c>
      <x:c r="M6" s="28" t="s">
        <x:v>194</x:v>
      </x:c>
      <x:c r="N6" s="29" t="s">
        <x:v>367</x:v>
      </x:c>
    </x:row>
    <x:row r="7" ht="37.95000076293945" customHeight="1">
      <x:c r="A7" s="22" t="s">
        <x:v>368</x:v>
      </x:c>
      <x:c r="B7" s="8" t="n">
        <x:f>COUNTIFS('BQ REGISTER'!P6:P25,"Done")</x:f>
        <x:v>0</x:v>
      </x:c>
      <x:c r="C7" s="8">
        <x:v>20</x:v>
      </x:c>
      <x:c r="D7" s="23">
        <x:f t="shared" si="0"/>
        <x:v>0</x:v>
      </x:c>
      <x:c r="E7" s="9"/>
      <x:c r="F7" s="24" t="s">
        <x:v>369</x:v>
      </x:c>
      <x:c r="G7" s="25" t="s">
        <x:v>328</x:v>
      </x:c>
      <x:c r="H7" s="25" t="s">
        <x:v>370</x:v>
      </x:c>
      <x:c r="I7" s="25" t="str">
        <x:v>Lifecycle/device/usage có risk, reach, CI và sensitivity</x:v>
      </x:c>
      <x:c r="J7" s="26" t="s">
        <x:v>26</x:v>
      </x:c>
      <x:c r="K7" s="9"/>
      <x:c r="L7" s="27">
        <x:v>2</x:v>
      </x:c>
      <x:c r="M7" s="28" t="s">
        <x:v>204</x:v>
      </x:c>
      <x:c r="N7" s="29" t="s">
        <x:v>371</x:v>
      </x:c>
    </x:row>
    <x:row r="8" ht="37.95000076293945" customHeight="1">
      <x:c r="A8" s="22" t="s">
        <x:v>372</x:v>
      </x:c>
      <x:c r="B8" s="12" t="n">
        <x:f>AVERAGE('BQ REGISTER'!Q6:Q25)</x:f>
        <x:v>0</x:v>
      </x:c>
      <x:c r="C8" s="12">
        <x:v>1</x:v>
      </x:c>
      <x:c r="D8" s="23">
        <x:f t="shared" si="0"/>
        <x:v>0</x:v>
      </x:c>
      <x:c r="E8" s="9"/>
      <x:c r="F8" s="24" t="s">
        <x:v>373</x:v>
      </x:c>
      <x:c r="G8" s="25" t="s">
        <x:v>330</x:v>
      </x:c>
      <x:c r="H8" s="25" t="s">
        <x:v>374</x:v>
      </x:c>
      <x:c r="I8" s="25" t="str">
        <x:v>Value, price, credit và behavior có segment cùng giả thuyết hành động rõ</x:v>
      </x:c>
      <x:c r="J8" s="26" t="s">
        <x:v>26</x:v>
      </x:c>
      <x:c r="K8" s="9"/>
      <x:c r="L8" s="27">
        <x:v>3</x:v>
      </x:c>
      <x:c r="M8" s="28" t="s">
        <x:v>375</x:v>
      </x:c>
      <x:c r="N8" s="29" t="s">
        <x:v>376</x:v>
      </x:c>
    </x:row>
    <x:row r="9" ht="37.95000076293945" customHeight="1">
      <x:c r="A9" s="22" t="s">
        <x:v>377</x:v>
      </x:c>
      <x:c r="B9" s="8" t="n">
        <x:f>COUNTIFS('BQ REGISTER'!D6:D25,"Must-have",'BQ REGISTER'!P6:P25,"Done")</x:f>
        <x:v>0</x:v>
      </x:c>
      <x:c r="C9" s="8" t="n">
        <x:f>COUNTIFS('BQ REGISTER'!D6:D25,"Must-have")</x:f>
        <x:v>19</x:v>
      </x:c>
      <x:c r="D9" s="23">
        <x:f t="shared" si="0"/>
        <x:v>0</x:v>
      </x:c>
      <x:c r="E9" s="9"/>
      <x:c r="F9" s="24" t="s">
        <x:v>378</x:v>
      </x:c>
      <x:c r="G9" s="25" t="s">
        <x:v>333</x:v>
      </x:c>
      <x:c r="H9" s="25" t="s">
        <x:v>379</x:v>
      </x:c>
      <x:c r="I9" s="25" t="s">
        <x:v>380</x:v>
      </x:c>
      <x:c r="J9" s="26" t="s">
        <x:v>26</x:v>
      </x:c>
      <x:c r="K9" s="9"/>
      <x:c r="L9" s="27">
        <x:v>4</x:v>
      </x:c>
      <x:c r="M9" s="28" t="s">
        <x:v>224</x:v>
      </x:c>
      <x:c r="N9" s="29" t="s">
        <x:v>381</x:v>
      </x:c>
    </x:row>
    <x:row r="10" ht="37.95000076293945" customHeight="1">
      <x:c r="A10" s="22" t="s">
        <x:v>382</x:v>
      </x:c>
      <x:c r="B10" s="8" t="n">
        <x:f>COUNTIFS('BQ REGISTER'!R6:R25,"Validated")</x:f>
        <x:v>0</x:v>
      </x:c>
      <x:c r="C10" s="8">
        <x:v>20</x:v>
      </x:c>
      <x:c r="D10" s="23">
        <x:f t="shared" si="0"/>
        <x:v>0</x:v>
      </x:c>
      <x:c r="E10" s="9"/>
      <x:c r="F10" s="24" t="s">
        <x:v>383</x:v>
      </x:c>
      <x:c r="G10" s="25" t="s">
        <x:v>335</x:v>
      </x:c>
      <x:c r="H10" s="25" t="s">
        <x:v>384</x:v>
      </x:c>
      <x:c r="I10" s="25" t="s">
        <x:v>385</x:v>
      </x:c>
      <x:c r="J10" s="26" t="s">
        <x:v>26</x:v>
      </x:c>
      <x:c r="K10" s="9"/>
      <x:c r="L10" s="27">
        <x:v>5</x:v>
      </x:c>
      <x:c r="M10" s="28" t="s">
        <x:v>386</x:v>
      </x:c>
      <x:c r="N10" s="29" t="str">
        <x:v>Recurring charge context</x:v>
      </x:c>
    </x:row>
    <x:row r="11" ht="37.95000076293945" customHeight="1">
      <x:c r="A11" s="30" t="s">
        <x:v>387</x:v>
      </x:c>
      <x:c r="B11" s="31" t="n">
        <x:f>COUNTIFS('BQ REGISTER'!S6:S25,"Ready")</x:f>
        <x:v>0</x:v>
      </x:c>
      <x:c r="C11" s="31">
        <x:v>2</x:v>
      </x:c>
      <x:c r="D11" s="32">
        <x:f t="shared" si="0"/>
        <x:v>0</x:v>
      </x:c>
      <x:c r="E11" s="9"/>
      <x:c r="F11" s="33" t="s">
        <x:v>388</x:v>
      </x:c>
      <x:c r="G11" s="34" t="s">
        <x:v>337</x:v>
      </x:c>
      <x:c r="H11" s="34" t="s">
        <x:v>389</x:v>
      </x:c>
      <x:c r="I11" s="34" t="s">
        <x:v>390</x:v>
      </x:c>
      <x:c r="J11" s="35" t="s">
        <x:v>26</x:v>
      </x:c>
      <x:c r="K11" s="9"/>
      <x:c r="L11" s="27">
        <x:v>6</x:v>
      </x:c>
      <x:c r="M11" s="28" t="s">
        <x:v>391</x:v>
      </x:c>
      <x:c r="N11" s="29" t="s">
        <x:v>392</x:v>
      </x:c>
    </x:row>
    <x:row r="12" ht="37.95000076293945" customHeight="1">
      <x:c r="A12" s="9"/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27">
        <x:v>7</x:v>
      </x:c>
      <x:c r="M12" s="28" t="s">
        <x:v>393</x:v>
      </x:c>
      <x:c r="N12" s="29" t="s">
        <x:v>394</x:v>
      </x:c>
    </x:row>
    <x:row r="13" ht="37.95000076293945" customHeight="1">
      <x:c r="A13" s="9"/>
      <x:c r="B13" s="9"/>
      <x:c r="C13" s="9"/>
      <x:c r="D13" s="9"/>
      <x:c r="E13" s="9"/>
      <x:c r="F13" s="9"/>
      <x:c r="G13" s="9"/>
      <x:c r="H13" s="9"/>
      <x:c r="I13" s="9"/>
      <x:c r="J13" s="9"/>
      <x:c r="K13" s="9"/>
      <x:c r="L13" s="27">
        <x:v>8</x:v>
      </x:c>
      <x:c r="M13" s="28" t="s">
        <x:v>395</x:v>
      </x:c>
      <x:c r="N13" s="29" t="s">
        <x:v>396</x:v>
      </x:c>
    </x:row>
    <x:row r="14" ht="43.95000076293945" customHeight="1">
      <x:c r="A14" s="19" t="s">
        <x:v>397</x:v>
      </x:c>
      <x:c r="B14" s="20" t="s">
        <x:v>398</x:v>
      </x:c>
      <x:c r="C14" s="20" t="s">
        <x:v>399</x:v>
      </x:c>
      <x:c r="D14" s="20" t="s">
        <x:v>400</x:v>
      </x:c>
      <x:c r="E14" s="20" t="s">
        <x:v>401</x:v>
      </x:c>
      <x:c r="F14" s="20" t="s">
        <x:v>402</x:v>
      </x:c>
      <x:c r="G14" s="21" t="s">
        <x:v>13</x:v>
      </x:c>
      <x:c r="H14" s="9"/>
      <x:c r="I14" s="9"/>
      <x:c r="J14" s="9"/>
      <x:c r="K14" s="9"/>
      <x:c r="L14" s="27">
        <x:v>9</x:v>
      </x:c>
      <x:c r="M14" s="28" t="s">
        <x:v>403</x:v>
      </x:c>
      <x:c r="N14" s="29" t="s">
        <x:v>404</x:v>
      </x:c>
    </x:row>
    <x:row r="15" ht="54" customHeight="1">
      <x:c r="A15" s="36" t="s">
        <x:v>405</x:v>
      </x:c>
      <x:c r="B15" s="37" t="s">
        <x:v>406</x:v>
      </x:c>
      <x:c r="C15" s="37" t="s">
        <x:v>407</x:v>
      </x:c>
      <x:c r="D15" s="37" t="s">
        <x:v>408</x:v>
      </x:c>
      <x:c r="E15" s="37" t="s">
        <x:v>409</x:v>
      </x:c>
      <x:c r="F15" s="37" t="s">
        <x:v>410</x:v>
      </x:c>
      <x:c r="G15" s="38" t="s">
        <x:v>221</x:v>
      </x:c>
      <x:c r="H15" s="9"/>
      <x:c r="I15" s="9"/>
      <x:c r="J15" s="9"/>
      <x:c r="K15" s="9"/>
      <x:c r="L15" s="39">
        <x:v>10</x:v>
      </x:c>
      <x:c r="M15" s="40" t="s">
        <x:v>411</x:v>
      </x:c>
      <x:c r="N15" s="41" t="s">
        <x:v>412</x:v>
      </x:c>
    </x:row>
    <x:row r="16" ht="70.05000305175781" customHeight="1">
      <x:c r="A16" s="52" t="s">
        <x:v>413</x:v>
      </x:c>
      <x:c r="B16" s="46" t="s">
        <x:v>414</x:v>
      </x:c>
      <x:c r="C16" s="46" t="s">
        <x:v>415</x:v>
      </x:c>
      <x:c r="D16" s="46" t="s">
        <x:v>408</x:v>
      </x:c>
      <x:c r="E16" s="46" t="s">
        <x:v>416</x:v>
      </x:c>
      <x:c r="F16" s="46" t="s">
        <x:v>417</x:v>
      </x:c>
      <x:c r="G16" s="53" t="s">
        <x:v>221</x:v>
      </x:c>
      <x:c r="H16" s="9"/>
      <x:c r="I16" s="9"/>
      <x:c r="J16" s="9"/>
      <x:c r="K16" s="9"/>
      <x:c r="L16" s="9"/>
      <x:c r="M16" s="9"/>
      <x:c r="N16" s="9"/>
    </x:row>
    <x:row r="17" ht="54" customHeight="1">
      <x:c r="A17" s="36" t="s">
        <x:v>418</x:v>
      </x:c>
      <x:c r="B17" s="37" t="s">
        <x:v>88</x:v>
      </x:c>
      <x:c r="C17" s="37" t="s">
        <x:v>419</x:v>
      </x:c>
      <x:c r="D17" s="37" t="s">
        <x:v>408</x:v>
      </x:c>
      <x:c r="E17" s="37" t="s">
        <x:v>420</x:v>
      </x:c>
      <x:c r="F17" s="37" t="s">
        <x:v>421</x:v>
      </x:c>
      <x:c r="G17" s="38" t="s">
        <x:v>221</x:v>
      </x:c>
      <x:c r="H17" s="9"/>
      <x:c r="I17" s="9"/>
      <x:c r="J17" s="9"/>
      <x:c r="K17" s="9"/>
      <x:c r="L17" s="9"/>
      <x:c r="M17" s="9"/>
      <x:c r="N17" s="9"/>
    </x:row>
    <x:row r="18" ht="54" customHeight="1">
      <x:c r="A18" s="36" t="s">
        <x:v>422</x:v>
      </x:c>
      <x:c r="B18" s="37" t="s">
        <x:v>423</x:v>
      </x:c>
      <x:c r="C18" s="37" t="s">
        <x:v>264</x:v>
      </x:c>
      <x:c r="D18" s="37" t="s">
        <x:v>408</x:v>
      </x:c>
      <x:c r="E18" s="37" t="s">
        <x:v>424</x:v>
      </x:c>
      <x:c r="F18" s="37" t="s">
        <x:v>425</x:v>
      </x:c>
      <x:c r="G18" s="38" t="s">
        <x:v>221</x:v>
      </x:c>
      <x:c r="H18" s="9"/>
      <x:c r="I18" s="9"/>
      <x:c r="J18" s="9"/>
      <x:c r="K18" s="9"/>
      <x:c r="L18" s="9"/>
      <x:c r="M18" s="9"/>
      <x:c r="N18" s="9"/>
    </x:row>
    <x:row r="19" ht="36" customHeight="1">
      <x:c r="A19" s="36" t="s">
        <x:v>426</x:v>
      </x:c>
      <x:c r="B19" s="37" t="str">
        <x:v>BQ08; BQ16–BQ18</x:v>
      </x:c>
      <x:c r="C19" s="37" t="s">
        <x:v>427</x:v>
      </x:c>
      <x:c r="D19" s="37" t="s">
        <x:v>428</x:v>
      </x:c>
      <x:c r="E19" s="37" t="s">
        <x:v>429</x:v>
      </x:c>
      <x:c r="F19" s="37" t="s">
        <x:v>430</x:v>
      </x:c>
      <x:c r="G19" s="38" t="s">
        <x:v>221</x:v>
      </x:c>
      <x:c r="H19" s="9"/>
      <x:c r="I19" s="9"/>
      <x:c r="J19" s="9"/>
      <x:c r="K19" s="9"/>
      <x:c r="L19" s="9"/>
      <x:c r="M19" s="9"/>
      <x:c r="N19" s="9"/>
    </x:row>
    <x:row r="20" ht="54" customHeight="1">
      <x:c r="A20" s="42" t="s">
        <x:v>431</x:v>
      </x:c>
      <x:c r="B20" s="43" t="s">
        <x:v>432</x:v>
      </x:c>
      <x:c r="C20" s="43" t="s">
        <x:v>433</x:v>
      </x:c>
      <x:c r="D20" s="43" t="s">
        <x:v>434</x:v>
      </x:c>
      <x:c r="E20" s="43" t="s">
        <x:v>435</x:v>
      </x:c>
      <x:c r="F20" s="43" t="s">
        <x:v>436</x:v>
      </x:c>
      <x:c r="G20" s="44" t="s">
        <x:v>221</x:v>
      </x:c>
      <x:c r="H20" s="9"/>
      <x:c r="I20" s="9"/>
      <x:c r="J20" s="9"/>
      <x:c r="K20" s="9"/>
      <x:c r="L20" s="9"/>
      <x:c r="M20" s="9"/>
      <x:c r="N20" s="9"/>
    </x:row>
  </x:sheetData>
  <x:conditionalFormatting sqref="G15:G20">
    <x:cfRule type="containsText" dxfId="5" priority="4" operator="containsText" text="Done"/>
    <x:cfRule type="containsText" dxfId="4" priority="5" operator="containsText" text="In Progress"/>
    <x:cfRule type="containsText" dxfId="3" priority="6" operator="containsText" text="Blocked"/>
  </x:conditionalFormatting>
  <x:conditionalFormatting sqref="J6:J11">
    <x:cfRule type="containsText" dxfId="2" priority="1" operator="containsText" text="Don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J6:J11">
      <x:formula1>"Not Started,In Progress,Blocked,Done"</x:formula1>
    </x:dataValidation>
    <x:dataValidation type="list" sqref="G15:G20">
      <x:formula1>"Draft,Ready,Testing,Done"</x:formula1>
    </x:dataValidation>
  </x:dataValidations>
  <x:pageMargins left="0.7" right="0.7" top="0.75" bottom="0.75" header="0.3" footer="0.3"/>
</x:worksheet>
</file>