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rực quan\"/>
    </mc:Choice>
  </mc:AlternateContent>
  <xr:revisionPtr revIDLastSave="0" documentId="13_ncr:1_{42F44551-91A8-4261-A09D-3E55514D58C3}" xr6:coauthVersionLast="47" xr6:coauthVersionMax="47" xr10:uidLastSave="{00000000-0000-0000-0000-000000000000}"/>
  <bookViews>
    <workbookView xWindow="-108" yWindow="-108" windowWidth="23256" windowHeight="12456" activeTab="1" xr2:uid="{00000000-000D-0000-FFFF-FFFF00000000}"/>
  </bookViews>
  <sheets>
    <sheet name="PROJECT ROADMAP" sheetId="1" r:id="rId1"/>
    <sheet name="BQ REGISTER" sheetId="2" r:id="rId2"/>
    <sheet name="GANTT CHART" sheetId="3" r:id="rId3"/>
    <sheet name="PROGRESS TRACKER" sheetId="4" r:id="rId4"/>
  </sheets>
  <definedNames>
    <definedName name="_xlnm._FilterDatabase" localSheetId="1" hidden="1">'BQ REGISTER'!$A$5:$S$25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 l="1"/>
  <c r="D11" i="4" s="1"/>
  <c r="B10" i="4"/>
  <c r="D10" i="4" s="1"/>
  <c r="C9" i="4"/>
  <c r="B9" i="4"/>
  <c r="D9" i="4" s="1"/>
  <c r="B8" i="4"/>
  <c r="D8" i="4" s="1"/>
  <c r="B7" i="4"/>
  <c r="D7" i="4" s="1"/>
  <c r="B6" i="4"/>
  <c r="D6" i="4" s="1"/>
</calcChain>
</file>

<file path=xl/sharedStrings.xml><?xml version="1.0" encoding="utf-8"?>
<sst xmlns="http://schemas.openxmlformats.org/spreadsheetml/2006/main" count="803" uniqueCount="506">
  <si>
    <t>Cell2Cell Churn &amp; Retention — 15-Day Roadmap</t>
  </si>
  <si>
    <t>Storyline: tin dữ liệu → định lượng churn → thời điểm/tín hiệu → dự đoán/ưu tiên → chính sách → thử nghiệm. Hai analyst làm song song; 20 BQ.</t>
  </si>
  <si>
    <t>Week</t>
  </si>
  <si>
    <t>Day</t>
  </si>
  <si>
    <t>Story act</t>
  </si>
  <si>
    <t>Daily objective</t>
  </si>
  <si>
    <t>Analyst A – BQ</t>
  </si>
  <si>
    <t>Analyst A – work</t>
  </si>
  <si>
    <t>Analyst A – deliverable</t>
  </si>
  <si>
    <t>Analyst B – BQ</t>
  </si>
  <si>
    <t>Analyst B – work</t>
  </si>
  <si>
    <t>Analyst B – deliverable</t>
  </si>
  <si>
    <t>Decision gate / milestone</t>
  </si>
  <si>
    <t>Dependencies</t>
  </si>
  <si>
    <t>Status</t>
  </si>
  <si>
    <t>Week 1</t>
  </si>
  <si>
    <t>Day 1</t>
  </si>
  <si>
    <t>1. Tin dữ liệu</t>
  </si>
  <si>
    <t>Khóa cohort và chuẩn bị feature audit</t>
  </si>
  <si>
    <t>BQ01</t>
  </si>
  <si>
    <t>Raw vs complete-case; missingness; exclusion log</t>
  </si>
  <si>
    <t>C01 + cohort memo</t>
  </si>
  <si>
    <t>BQ03 prep</t>
  </si>
  <si>
    <t>Schema, unit và scoring-time availability</t>
  </si>
  <si>
    <t>Feature dictionary draft</t>
  </si>
  <si>
    <t>Data reconciliation</t>
  </si>
  <si>
    <t>Data source</t>
  </si>
  <si>
    <t>Not Started</t>
  </si>
  <si>
    <t>Day 2</t>
  </si>
  <si>
    <t>Khóa baseline và feature contract</t>
  </si>
  <si>
    <t>BQ02</t>
  </si>
  <si>
    <t>Baseline churn; CI; C02 waffle</t>
  </si>
  <si>
    <t>C02 + metric dictionary</t>
  </si>
  <si>
    <t>BQ03</t>
  </si>
  <si>
    <t>10-feature readiness và timing review</t>
  </si>
  <si>
    <t>C03 + feature contract</t>
  </si>
  <si>
    <t>G1 — Data lock</t>
  </si>
  <si>
    <t>Day 3</t>
  </si>
  <si>
    <t>2. Thời điểm/thiết bị</t>
  </si>
  <si>
    <t>Lập hồ sơ tenure và mức sử dụng</t>
  </si>
  <si>
    <t>BQ04</t>
  </si>
  <si>
    <t>Monthly tenure curve; ordered cohorts</t>
  </si>
  <si>
    <t>C04 + tenure table</t>
  </si>
  <si>
    <t>BQ12</t>
  </si>
  <si>
    <t>MonthlyMinutes bands; tenure strata</t>
  </si>
  <si>
    <t>C12 + usage table</t>
  </si>
  <si>
    <t>Minimum-cell rule</t>
  </si>
  <si>
    <t>G1</t>
  </si>
  <si>
    <t>Day 4</t>
  </si>
  <si>
    <t>2 &amp; 4. Lifecycle/behavior</t>
  </si>
  <si>
    <t>Kiểm tra threshold và usage decline</t>
  </si>
  <si>
    <t>BQ05</t>
  </si>
  <si>
    <t>Alternate tenure cut points; bootstrap stability</t>
  </si>
  <si>
    <t>C05 + trigger recommendation</t>
  </si>
  <si>
    <t>BQ13</t>
  </si>
  <si>
    <t>PercChangeMinutes risk/reach/lead time</t>
  </si>
  <si>
    <t>C13 + trigger spec</t>
  </si>
  <si>
    <t>Thresholds pre-specified</t>
  </si>
  <si>
    <t>BQ04; BQ12</t>
  </si>
  <si>
    <t>Day 5</t>
  </si>
  <si>
    <t>2 &amp; 4. Device/behavior</t>
  </si>
  <si>
    <t>Tuổi thiết bị và revenue decline</t>
  </si>
  <si>
    <t>BQ06</t>
  </si>
  <si>
    <t>Equipment data audit; bands; churn sensitivity</t>
  </si>
  <si>
    <t>C06 + band dictionary</t>
  </si>
  <si>
    <t>BQ14</t>
  </si>
  <si>
    <t>PercChangeRevenues incremental evidence</t>
  </si>
  <si>
    <t>C14 + keep/drop decision</t>
  </si>
  <si>
    <t>Derived-field registry</t>
  </si>
  <si>
    <t>Week 2</t>
  </si>
  <si>
    <t>Day 6</t>
  </si>
  <si>
    <t>BQ15</t>
  </si>
  <si>
    <t>Combined signals; peak increment; stability</t>
  </si>
  <si>
    <t>C15 + reason-code rule</t>
  </si>
  <si>
    <t>BQ04–BQ06; BQ12–BQ14</t>
  </si>
  <si>
    <t>Day 7</t>
  </si>
  <si>
    <t>3. Giá trị/phí</t>
  </si>
  <si>
    <t>Value proxy và credit governance</t>
  </si>
  <si>
    <t>BQ08</t>
  </si>
  <si>
    <t>Value tiers; risk vs revenue exposure</t>
  </si>
  <si>
    <t>C08 + value dictionary</t>
  </si>
  <si>
    <t>BQ11</t>
  </si>
  <si>
    <t>Credit differences; charge/value strata; fairness</t>
  </si>
  <si>
    <t>C11 + governance note</t>
  </si>
  <si>
    <t>Risk and value separated</t>
  </si>
  <si>
    <t>BQ02–BQ03</t>
  </si>
  <si>
    <t>Day 8</t>
  </si>
  <si>
    <t>Price/plan mismatch evidence</t>
  </si>
  <si>
    <t>BQ09–BQ10</t>
  </si>
  <si>
    <t>Charge bands; revenue-charge gap; sensitivity</t>
  </si>
  <si>
    <t>C09–C10 + mismatch cohort</t>
  </si>
  <si>
    <t>Support BQ11</t>
  </si>
  <si>
    <t>Stability and policy wording review</t>
  </si>
  <si>
    <t>Validated C11</t>
  </si>
  <si>
    <t>G3 — Segment logic</t>
  </si>
  <si>
    <t>BQ08–BQ11</t>
  </si>
  <si>
    <t>Day 9</t>
  </si>
  <si>
    <t>5. Dự đoán</t>
  </si>
  <si>
    <t>Feature evidence và model design</t>
  </si>
  <si>
    <t>BQ16</t>
  </si>
  <si>
    <t>Effect/MI/OOF importance; redundancy; roles</t>
  </si>
  <si>
    <t>C16 + evidence register</t>
  </si>
  <si>
    <t>BQ17 prep</t>
  </si>
  <si>
    <t>Split strategy; CatBoost depth grid; metrics</t>
  </si>
  <si>
    <t>Model design note</t>
  </si>
  <si>
    <t>Only 10 base features</t>
  </si>
  <si>
    <t>BQ04–BQ15</t>
  </si>
  <si>
    <t>Day 10</t>
  </si>
  <si>
    <t>Khóa evidence và tune model</t>
  </si>
  <si>
    <t>Stability review; reason-code pathway</t>
  </si>
  <si>
    <t>Feature contract final</t>
  </si>
  <si>
    <t>BQ17</t>
  </si>
  <si>
    <t>OOF depth tuning bằng log loss; calibration</t>
  </si>
  <si>
    <t>Draft C17 + model card</t>
  </si>
  <si>
    <t>No training-loss selection</t>
  </si>
  <si>
    <t>Week 3</t>
  </si>
  <si>
    <t>Day 11</t>
  </si>
  <si>
    <t>Lift@5/10/20%; calibration; holdout QA</t>
  </si>
  <si>
    <t>C17 + model card</t>
  </si>
  <si>
    <t>Day 12</t>
  </si>
  <si>
    <t>5–6. Ưu tiên/chính sách</t>
  </si>
  <si>
    <t>BQ19</t>
  </si>
  <si>
    <t>Treatment inventory; eligibility/exclusion</t>
  </si>
  <si>
    <t>Policy matrix draft</t>
  </si>
  <si>
    <t>Day 13</t>
  </si>
  <si>
    <t>6. Chính sách</t>
  </si>
  <si>
    <t>Capacity, threshold và economics</t>
  </si>
  <si>
    <t>Capacity curve; break-even scenarios; missing inputs</t>
  </si>
  <si>
    <t>C19 + assumptions register</t>
  </si>
  <si>
    <t>Treatment/control/channel/KPI/guardrail review</t>
  </si>
  <si>
    <t>Policy matrix final</t>
  </si>
  <si>
    <t>G5 — Policy readiness</t>
  </si>
  <si>
    <t>BQ18 + cost inputs</t>
  </si>
  <si>
    <t>Day 14</t>
  </si>
  <si>
    <t>6. Đo hiệu quả</t>
  </si>
  <si>
    <t>Thiết kế pilot và monitoring</t>
  </si>
  <si>
    <t>BQ20</t>
  </si>
  <si>
    <t>Primary KPI; outcome window; decision rules</t>
  </si>
  <si>
    <t>Experiment KPI dictionary</t>
  </si>
  <si>
    <t>Randomization; MDE; capture; drift/fairness</t>
  </si>
  <si>
    <t>C20 + experiment brief</t>
  </si>
  <si>
    <t>Pilot design review</t>
  </si>
  <si>
    <t>Day 15</t>
  </si>
  <si>
    <t>Integration</t>
  </si>
  <si>
    <t>Executive story, QA và handoff</t>
  </si>
  <si>
    <t>BQ01–BQ19</t>
  </si>
  <si>
    <t>Trace evidence → risk → segment → policy</t>
  </si>
  <si>
    <t>Final analytical pack</t>
  </si>
  <si>
    <t>Reproducibility; monitoring owner; QA</t>
  </si>
  <si>
    <t>Final experiment pack</t>
  </si>
  <si>
    <t>G6 — Pilot readiness</t>
  </si>
  <si>
    <t>All Must-have BQs</t>
  </si>
  <si>
    <t>Business Question Register — 20 Decision Questions</t>
  </si>
  <si>
    <t>BQ ID</t>
  </si>
  <si>
    <t>Owner</t>
  </si>
  <si>
    <t>Priority</t>
  </si>
  <si>
    <t>Decision objective</t>
  </si>
  <si>
    <t>Business question</t>
  </si>
  <si>
    <t>Base feature(s) — only from 10</t>
  </si>
  <si>
    <t>Target / derived / external fields</t>
  </si>
  <si>
    <t>Metrics</t>
  </si>
  <si>
    <t>Method / evidence</t>
  </si>
  <si>
    <t>Chart</t>
  </si>
  <si>
    <t>Decision / retention link</t>
  </si>
  <si>
    <t>Deliverable / acceptance</t>
  </si>
  <si>
    <t>Est. hours</t>
  </si>
  <si>
    <t>Completion %</t>
  </si>
  <si>
    <t>Evidence status</t>
  </si>
  <si>
    <t>Policy status</t>
  </si>
  <si>
    <t>Analyst A</t>
  </si>
  <si>
    <t>Must-have</t>
  </si>
  <si>
    <t>Khóa analysis cohort và ngăn bias do missingness</t>
  </si>
  <si>
    <t>Cohort phân tích có đại diện và đối soát được không?</t>
  </si>
  <si>
    <t>None</t>
  </si>
  <si>
    <t>Target: Churn; QA: missing flags, CustomerID</t>
  </si>
  <si>
    <t>Raw/retained/dropped; churn rate nhóm thiếu/đủ; duplicate/invalid</t>
  </si>
  <si>
    <t>Missingness audit; cohort waterfall; raw vs complete-case sensitivity</t>
  </si>
  <si>
    <t>C01</t>
  </si>
  <si>
    <t>Quyết định nguồn phân tích chính</t>
  </si>
  <si>
    <t>Cohort memo + exclusion log; counts reconcile</t>
  </si>
  <si>
    <t>Pending</t>
  </si>
  <si>
    <t>Not Applicable</t>
  </si>
  <si>
    <t>Khóa baseline duy nhất cho toàn dự án</t>
  </si>
  <si>
    <t>Churn lớn đến đâu và baseline có chắc chắn không?</t>
  </si>
  <si>
    <t>Target: Churn</t>
  </si>
  <si>
    <t>Eligible; churn count/rate; Wilson 95% CI</t>
  </si>
  <si>
    <t>Target QA; descriptive reconciliation</t>
  </si>
  <si>
    <t>C02</t>
  </si>
  <si>
    <t>Định cỡ vấn đề và chuẩn so sánh</t>
  </si>
  <si>
    <t>KPI + waffle; count/rate khớp tuyệt đối</t>
  </si>
  <si>
    <t>Analyst B</t>
  </si>
  <si>
    <t>Khóa data dictionary và scoring-time availability</t>
  </si>
  <si>
    <t>Mười feature có hợp lệ và sẵn có tại thời điểm scoring không?</t>
  </si>
  <si>
    <t>All 10 base features</t>
  </si>
  <si>
    <t>QA: dtype, unit, range, timing, mapping</t>
  </si>
  <si>
    <t>Coverage; invalid/outlier; mapping; availability</t>
  </si>
  <si>
    <t>Schema/range audit; timing/leakage review; unit verification</t>
  </si>
  <si>
    <t>C03</t>
  </si>
  <si>
    <t>Chỉ feature hợp lệ mới vào pipeline</t>
  </si>
  <si>
    <t>Feature contract; 10/10 có owner và policy</t>
  </si>
  <si>
    <t>Tìm cửa sổ can thiệp theo vòng đời</t>
  </si>
  <si>
    <t>Churn thay đổi thế nào theo tenure?</t>
  </si>
  <si>
    <t>MonthsInService</t>
  </si>
  <si>
    <t>Derived: TenureBand; Target: Churn</t>
  </si>
  <si>
    <t>n; churn rate/CI; difference pp; risk ratio</t>
  </si>
  <si>
    <t>Monthly curve; ordered cohorts; minimum sample rule</t>
  </si>
  <si>
    <t>C04</t>
  </si>
  <si>
    <t>Chọn lifecycle check-in window</t>
  </si>
  <si>
    <t>Tenure table + C04; bands phủ cohort đúng một lần</t>
  </si>
  <si>
    <t>Chọn tenure trigger ổn định, không cherry-pick</t>
  </si>
  <si>
    <t>Điểm gãy tenure có ổn định hay do cách chia nhóm?</t>
  </si>
  <si>
    <t>Derived: alternate TenureBand; Target: Churn</t>
  </si>
  <si>
    <t>Threshold stability; bootstrap CI; RR; n</t>
  </si>
  <si>
    <t>Alternate bands; rolling rate; placebo cut points; strata</t>
  </si>
  <si>
    <t>C05</t>
  </si>
  <si>
    <t>Can thiệp trước cửa sổ rủi ro</t>
  </si>
  <si>
    <t>Trigger giữ hướng qua sensitivity; causal wording đúng</t>
  </si>
  <si>
    <t>Xác định device-review cohort</t>
  </si>
  <si>
    <t>Tuổi thiết bị liên quan thế nào đến churn?</t>
  </si>
  <si>
    <t>CurrentEquipmentDays</t>
  </si>
  <si>
    <t>Derived: EquipmentAgeBand; Target: Churn</t>
  </si>
  <si>
    <t>Range/outlier; rate/lift/CI; n; sensitivity</t>
  </si>
  <si>
    <t>Audit âm/outlier; quantile + business bands; tenure strata</t>
  </si>
  <si>
    <t>C06</t>
  </si>
  <si>
    <t>Chọn cohort upgrade/trade-in</t>
  </si>
  <si>
    <t>Band dictionary; derived field không tính là feature mới</t>
  </si>
  <si>
    <t>Tách churn risk khỏi value proxy</t>
  </si>
  <si>
    <t>Monthly revenue liên quan thế nào đến risk và value?</t>
  </si>
  <si>
    <t>MonthlyRevenue</t>
  </si>
  <si>
    <t>Derived: ValueTier; Target: Churn</t>
  </si>
  <si>
    <t>Median/IQR; rate/lift; n; revenue-at-risk proxy</t>
  </si>
  <si>
    <t>Distribution; quantiles; tail sensitivity</t>
  </si>
  <si>
    <t>C08</t>
  </si>
  <si>
    <t>Tạo value dimension cho ưu tiên</t>
  </si>
  <si>
    <t>ValueTier tái lập; không gọi MonthlyRevenue là CLV</t>
  </si>
  <si>
    <t>BQ09</t>
  </si>
  <si>
    <t>Tìm nhóm cần bill/plan review</t>
  </si>
  <si>
    <t>Phí định kỳ có quan hệ phi tuyến với churn không?</t>
  </si>
  <si>
    <t>TotalRecurringCharge; MonthlyRevenue</t>
  </si>
  <si>
    <t>Derived: ChargeBand, ValueTier; Target: Churn</t>
  </si>
  <si>
    <t>Rate/CI; median; difference pp; non-linear effect</t>
  </si>
  <si>
    <t>Bands; spline/PDP sensitivity; value strata</t>
  </si>
  <si>
    <t>C09</t>
  </si>
  <si>
    <t>Bill explanation/right-size plan candidate</t>
  </si>
  <si>
    <t>Risk và reach rõ; không suy ra tác động tăng/giảm phí</t>
  </si>
  <si>
    <t>Draft</t>
  </si>
  <si>
    <t>BQ10</t>
  </si>
  <si>
    <t>Should-have</t>
  </si>
  <si>
    <t>Xác định price/plan mismatch cohort</t>
  </si>
  <si>
    <t>Revenue–charge gap có tạo mismatch candidate không?</t>
  </si>
  <si>
    <t>MonthlyRevenue; TotalRecurringCharge</t>
  </si>
  <si>
    <t>Derived: RevenueChargeGap; Target: Churn</t>
  </si>
  <si>
    <t>Gap distribution; rate/lift; n; tail sensitivity</t>
  </si>
  <si>
    <t>Bins quanh 0; quantiles; outlier/value strata</t>
  </si>
  <si>
    <t>C10</t>
  </si>
  <si>
    <t>Bill review, cap/alert hoặc plan review</t>
  </si>
  <si>
    <t>Không gọi gap là margin/overage; incremental evidence</t>
  </si>
  <si>
    <t>BQ08–BQ09</t>
  </si>
  <si>
    <t>Thiết kế payment support có fairness guardrail</t>
  </si>
  <si>
    <t>Credit segment có khác biệt churn sau khi xét revenue/charge không?</t>
  </si>
  <si>
    <t>CreditRating; MonthlyRevenue; TotalRecurringCharge</t>
  </si>
  <si>
    <t>Derived: ValueTier, ChargeBand; Target: Churn</t>
  </si>
  <si>
    <t>Rate/lift/CI; disparity; within-strata effect; n</t>
  </si>
  <si>
    <t>Mapping audit; Cramér's V; strata; interaction</t>
  </si>
  <si>
    <t>C11</t>
  </si>
  <si>
    <t>Payment reminder/flexibility nếu được phép</t>
  </si>
  <si>
    <t>Fairness note; prohibited use; category mapping rõ</t>
  </si>
  <si>
    <t>4. Sử dụng/hành vi</t>
  </si>
  <si>
    <t>Xác định low-engagement cohort</t>
  </si>
  <si>
    <t>Mức sử dụng hàng tháng liên quan thế nào đến churn?</t>
  </si>
  <si>
    <t>MonthlyMinutes; MonthsInService</t>
  </si>
  <si>
    <t>Derived: MinutesBand, TenureBand; Target: Churn</t>
  </si>
  <si>
    <t>Distribution; rate/lift/CI; n; median/IQR</t>
  </si>
  <si>
    <t>Usage bands; outlier sensitivity; tenure/value strata</t>
  </si>
  <si>
    <t>C12</t>
  </si>
  <si>
    <t>Re-engagement hoặc plan review</t>
  </si>
  <si>
    <t>Rate và volume tách riêng; band đủ mẫu</t>
  </si>
  <si>
    <t>Khóa usage-decline trigger có lead time</t>
  </si>
  <si>
    <t>Giảm minutes có tạo trigger đủ risk, reach và lead time không?</t>
  </si>
  <si>
    <t>PercChangeMinutes; MonthlyMinutes</t>
  </si>
  <si>
    <t>Derived: UsageTrendBand; Target: Churn</t>
  </si>
  <si>
    <t>Rate/lift/CI; coverage; precision/recall; availability</t>
  </si>
  <si>
    <t>Bins quanh 0; threshold sensitivity; validation split</t>
  </si>
  <si>
    <t>C13</t>
  </si>
  <si>
    <t>Kích hoạt re-engagement/plan review</t>
  </si>
  <si>
    <t>Đơn vị/timing xác minh; threshold không overfit</t>
  </si>
  <si>
    <t>Khóa hoặc loại spend-decline trigger</t>
  </si>
  <si>
    <t>Giảm revenue có thêm thông tin ngoài value hiện tại không?</t>
  </si>
  <si>
    <t>PercChangeRevenues; MonthlyRevenue</t>
  </si>
  <si>
    <t>Derived: RevenueTrendBand, ValueTier; Target: Churn</t>
  </si>
  <si>
    <t>Rate/lift; coverage; conditional lift; redundancy</t>
  </si>
  <si>
    <t>Trend bands; value strata; MI/permutation increment</t>
  </si>
  <si>
    <t>C14</t>
  </si>
  <si>
    <t>Bill/plan review hoặc combined trigger</t>
  </si>
  <si>
    <t>Chỉ giữ nếu có incremental evidence và timing hợp lệ</t>
  </si>
  <si>
    <t>BQ08; BQ12</t>
  </si>
  <si>
    <t>Khóa disengagement reason code ổn định</t>
  </si>
  <si>
    <t>Kết hợp usage, change signals và peak pattern có tạo reason code ổn định không?</t>
  </si>
  <si>
    <t>MonthlyMinutes; PercChangeMinutes; PercChangeRevenues; PeakCallsInOut; MonthsInService</t>
  </si>
  <si>
    <t>Derived: DisengagementFlag, trend bands, TenureBand; Target: Churn</t>
  </si>
  <si>
    <t>Coverage; lift; precision/recall; overlap; peak increment</t>
  </si>
  <si>
    <t>Prespecified rules; validation-fold comparison; tenure stability</t>
  </si>
  <si>
    <t>C15</t>
  </si>
  <si>
    <t>Outbound trigger ưu tiên</t>
  </si>
  <si>
    <t>Báo risk + reach; PeakCalls giữ khi có incremental evidence</t>
  </si>
  <si>
    <t>BQ04; BQ12–BQ14</t>
  </si>
  <si>
    <t>5. Dự đoán/ưu tiên</t>
  </si>
  <si>
    <t>Khóa evidence register cho bộ 10</t>
  </si>
  <si>
    <t>Feature nào ổn định và còn giá trị khi xem đồng thời?</t>
  </si>
  <si>
    <t>Target: Churn; evidence register</t>
  </si>
  <si>
    <t>Effect; FDR; MI; OOF permutation; SHAP stability; redundancy</t>
  </si>
  <si>
    <t>Evidence matrix; bootstrap/fold stability; timing/actionability</t>
  </si>
  <si>
    <t>C16</t>
  </si>
  <si>
    <t>Chọn feature roles và reason-code candidates</t>
  </si>
  <si>
    <t>Register đủ Evidence/Timing/Actionability/Governance</t>
  </si>
  <si>
    <t>Khóa CatBoost depth và model card</t>
  </si>
  <si>
    <t>Depth nào tối ưu validation loss và xếp hạng có đáng tin không?</t>
  </si>
  <si>
    <t>Target: Churn; Output: RiskScore</t>
  </si>
  <si>
    <t>Train/valid log loss; ROC/PR; calibration; lift@5/10/20%</t>
  </si>
  <si>
    <t>Stratified CV/holdout; native cat features; early stopping</t>
  </si>
  <si>
    <t>C17</t>
  </si>
  <si>
    <t>Tạo risk score không cần manual encoding</t>
  </si>
  <si>
    <t>Depth chọn bằng OOF/valid; metrics từ unseen predictions</t>
  </si>
  <si>
    <t>BQ18</t>
  </si>
  <si>
    <t>6. Chính sách/đo lường</t>
  </si>
  <si>
    <t>Shared</t>
  </si>
  <si>
    <t>Khóa policy matrix và threshold khả thi</t>
  </si>
  <si>
    <t>Chính sách nào phù hợp từng reason code và threshold nào khả thi?</t>
  </si>
  <si>
    <t>None — use approved BQ18 outputs</t>
  </si>
  <si>
    <t>Derived: PrioritySegment/reason; External: capacity, cost, margin/CLV, uplift</t>
  </si>
  <si>
    <t>Eligible/reach; expected churners; break-even uplift/value</t>
  </si>
  <si>
    <t>Evidence-to-policy mapping; scenarios; capacity sensitivity</t>
  </si>
  <si>
    <t>C19</t>
  </si>
  <si>
    <t>Chọn treatment/channel/timing/exclusion</t>
  </si>
  <si>
    <t>Mỗi segment đủ treatment/control/KPI/guardrail; missing = n.a.</t>
  </si>
  <si>
    <t>BQ18 + external cost inputs</t>
  </si>
  <si>
    <t>Khóa pilot và monitoring plan</t>
  </si>
  <si>
    <t>Thử nghiệm và giám sát thế nào để scale, sửa hoặc dừng?</t>
  </si>
  <si>
    <t>Experiment: treatment/control/outcomes; Monitoring: feature/score/model version</t>
  </si>
  <si>
    <t>ITT churn lift; CI/MDE; cost/save; guardrails; drift/fairness</t>
  </si>
  <si>
    <t>Randomized pilot; pre-specified window; stop rule; monitoring</t>
  </si>
  <si>
    <t>C20</t>
  </si>
  <si>
    <t>Đo incremental impact và vận hành an toàn</t>
  </si>
  <si>
    <t>Sample/data capture/owner/decision rules đầy đủ</t>
  </si>
  <si>
    <t>Gantt Chart — 20 BQ / 15 Working Days</t>
  </si>
  <si>
    <t>Màu xanh dương: Analyst A; xanh ngọc: Analyst B; vàng: shared integration, policy và experiment.</t>
  </si>
  <si>
    <t>Workstream</t>
  </si>
  <si>
    <t>Task / BQ</t>
  </si>
  <si>
    <t>Start day</t>
  </si>
  <si>
    <t>End day</t>
  </si>
  <si>
    <t>D1</t>
  </si>
  <si>
    <t>D2</t>
  </si>
  <si>
    <t>D3</t>
  </si>
  <si>
    <t>D4</t>
  </si>
  <si>
    <t>D5</t>
  </si>
  <si>
    <t>D6</t>
  </si>
  <si>
    <t>D7</t>
  </si>
  <si>
    <t>D8</t>
  </si>
  <si>
    <t>D9</t>
  </si>
  <si>
    <t>D10</t>
  </si>
  <si>
    <t>D11</t>
  </si>
  <si>
    <t>D12</t>
  </si>
  <si>
    <t>D13</t>
  </si>
  <si>
    <t>D14</t>
  </si>
  <si>
    <t>D15</t>
  </si>
  <si>
    <t>Data trust</t>
  </si>
  <si>
    <t>Feature readiness</t>
  </si>
  <si>
    <t>Lifecycle</t>
  </si>
  <si>
    <t>Device</t>
  </si>
  <si>
    <t>BQ07</t>
  </si>
  <si>
    <t>Value/Price</t>
  </si>
  <si>
    <t>Credit/Fairness</t>
  </si>
  <si>
    <t>Usage</t>
  </si>
  <si>
    <t>Behavior change</t>
  </si>
  <si>
    <t>Feature evidence</t>
  </si>
  <si>
    <t>Model</t>
  </si>
  <si>
    <t>Policy</t>
  </si>
  <si>
    <t>Experiment</t>
  </si>
  <si>
    <t>Final story &amp; QA</t>
  </si>
  <si>
    <t>QA</t>
  </si>
  <si>
    <t>Progress Tracker — BQ, Evidence, Policy and Feature Contract</t>
  </si>
  <si>
    <t>Chỉ cập nhật Status, Completion %, Evidence status và Policy status trong BQ REGISTER. Các KPI bên dưới liên kết tới register.</t>
  </si>
  <si>
    <t>Metric</t>
  </si>
  <si>
    <t>Current</t>
  </si>
  <si>
    <t>Target</t>
  </si>
  <si>
    <t>Completion</t>
  </si>
  <si>
    <t>Gate</t>
  </si>
  <si>
    <t>Planned day</t>
  </si>
  <si>
    <t>Purpose</t>
  </si>
  <si>
    <t>Exit criteria</t>
  </si>
  <si>
    <t>#</t>
  </si>
  <si>
    <t>Base feature</t>
  </si>
  <si>
    <t>Analysis role</t>
  </si>
  <si>
    <t>Total BQ</t>
  </si>
  <si>
    <t>Data lock</t>
  </si>
  <si>
    <t>Cohort, target, metric và 10-feature contract khóa</t>
  </si>
  <si>
    <t>Lifecycle timing</t>
  </si>
  <si>
    <t>Completed</t>
  </si>
  <si>
    <t>G2</t>
  </si>
  <si>
    <t>Descriptive evidence</t>
  </si>
  <si>
    <t>Lifecycle/device/usage có count, CI và sensitivity</t>
  </si>
  <si>
    <t>Device age proxy</t>
  </si>
  <si>
    <t>Overall BQ completion</t>
  </si>
  <si>
    <t>G3</t>
  </si>
  <si>
    <t>Segment logic</t>
  </si>
  <si>
    <t>Financial/behavior reason-code hypotheses rõ</t>
  </si>
  <si>
    <t>HandsetWebCapable</t>
  </si>
  <si>
    <t>Device capability</t>
  </si>
  <si>
    <t>Must-have completed</t>
  </si>
  <si>
    <t>G4</t>
  </si>
  <si>
    <t>Model acceptance</t>
  </si>
  <si>
    <t>OOF loss, calibration và lift@capacity đạt yêu cầu</t>
  </si>
  <si>
    <t>Value proxy</t>
  </si>
  <si>
    <t>Evidence validated</t>
  </si>
  <si>
    <t>G5</t>
  </si>
  <si>
    <t>Policy readiness</t>
  </si>
  <si>
    <t>Segment, treatment, exclusion và assumptions khóa</t>
  </si>
  <si>
    <t>TotalRecurringCharge</t>
  </si>
  <si>
    <t>Recurring price burden</t>
  </si>
  <si>
    <t>Policy BQs ready</t>
  </si>
  <si>
    <t>G6</t>
  </si>
  <si>
    <t>Pilot readiness</t>
  </si>
  <si>
    <t>Experiment, capture, monitoring và owner phê duyệt</t>
  </si>
  <si>
    <t>CreditRating</t>
  </si>
  <si>
    <t>Credit segment / fairness</t>
  </si>
  <si>
    <t>MonthlyMinutes</t>
  </si>
  <si>
    <t>Usage level</t>
  </si>
  <si>
    <t>PercChangeMinutes</t>
  </si>
  <si>
    <t>Usage trend</t>
  </si>
  <si>
    <t>Policy hypothesis</t>
  </si>
  <si>
    <t>Required evidence</t>
  </si>
  <si>
    <t>Treatment to test</t>
  </si>
  <si>
    <t>Control</t>
  </si>
  <si>
    <t>Primary KPI</t>
  </si>
  <si>
    <t>Guardrail</t>
  </si>
  <si>
    <t>PercChangeRevenues</t>
  </si>
  <si>
    <t>Spend trend</t>
  </si>
  <si>
    <t>Lifecycle risk</t>
  </si>
  <si>
    <t>BQ04–BQ05</t>
  </si>
  <si>
    <t>Check-in; bill/plan explanation</t>
  </si>
  <si>
    <t>Eligible BAU</t>
  </si>
  <si>
    <t>Incremental churn reduction</t>
  </si>
  <si>
    <t>Contact fatigue; offer cost</t>
  </si>
  <si>
    <t>PeakCallsInOut</t>
  </si>
  <si>
    <t>Peak usage pattern</t>
  </si>
  <si>
    <t>Price/plan mismatch</t>
  </si>
  <si>
    <t>Bill review; right-size plan; payment support</t>
  </si>
  <si>
    <t>Retention + plan acceptance</t>
  </si>
  <si>
    <t>Revenue dilution; fairness</t>
  </si>
  <si>
    <t>Behavioral decline</t>
  </si>
  <si>
    <t>BQ12–BQ15</t>
  </si>
  <si>
    <t>Retention + usage recovery</t>
  </si>
  <si>
    <t>Opt-out; spam</t>
  </si>
  <si>
    <t>Pilot and scale</t>
  </si>
  <si>
    <t>BQ19–BQ20</t>
  </si>
  <si>
    <t>Randomized treatment portfolio</t>
  </si>
  <si>
    <t>Eligible control</t>
  </si>
  <si>
    <t>ITT churn reduction</t>
  </si>
  <si>
    <t>Cost, complaints, drift/fairness</t>
  </si>
  <si>
    <t>Khóa vai trò capability bằng hiệu ứng đã điều chỉnh liên tục</t>
  </si>
  <si>
    <t>Spline/GAM: capability × tuổi thiết bị liên tục; điều chỉnh tenure liên tục; không chia band</t>
  </si>
  <si>
    <t>C07 adjusted curves + Keep / Context only / Remove</t>
  </si>
  <si>
    <t>BQ07 — adjusted evidence decision</t>
  </si>
  <si>
    <t>Khóa model và thiết kế ưu tiên risk × value</t>
  </si>
  <si>
    <t>BQ18 prep</t>
  </si>
  <si>
    <t>Khóa p(churn) đã hiệu chỉnh; cố định value tier BQ08; định nghĩa p(churn) × MonthlyRevenue; so sánh risk-only</t>
  </si>
  <si>
    <t>Priority design + quy tắc P1–P4</t>
  </si>
  <si>
    <t>G4 — Model calibration accepted</t>
  </si>
  <si>
    <t>BQ08; BQ16–BQ17</t>
  </si>
  <si>
    <t>Khóa ưu tiên risk × value theo capacity</t>
  </si>
  <si>
    <t>Ma trận 2×2 risk × value; xếp hạng eligible bằng p(churn) × MonthlyRevenue; capacity 5/10/20%; đối chiếu risk-only</t>
  </si>
  <si>
    <t>C18 + ranking/segment dictionary</t>
  </si>
  <si>
    <t>Priority rule approved</t>
  </si>
  <si>
    <t>Base feature, target, derived field và external input được tách riêng. Chỉ cột Base feature(s) thuộc model contract 10 feature. BQ07 giữ tuổi thiết bị và tenure liên tục, không dùng band.</t>
  </si>
  <si>
    <t>Khóa quyết định Keep / Context only / Remove cho capability</t>
  </si>
  <si>
    <t>Khả năng tương thích dịch vụ data của thiết bị còn liên quan đến churn sau khi kiểm soát tuổi thiết bị và tenure liên tục không?</t>
  </si>
  <si>
    <t>CurrentEquipmentDays; HandsetWebCapable; MonthsInService</t>
  </si>
  <si>
    <t>Target: Churn; no EquipmentAgeBand/TenureBand</t>
  </si>
  <si>
    <t>Adjusted AME/risk difference/OR + 95% CI; interaction test; bootstrap stability</t>
  </si>
  <si>
    <t>Binomial GAM/logistic splines; continuous age &amp; tenure; additive vs interaction; no bands</t>
  </si>
  <si>
    <t>C07</t>
  </si>
  <si>
    <t>Compatibility/configuration support hoặc loại khỏi policy story</t>
  </si>
  <si>
    <t>Không chia band; CI + data support + Keep/Context/Remove decision</t>
  </si>
  <si>
    <t>BQ03; BQ06</t>
  </si>
  <si>
    <t>Ưu tiên đúng khách trong capacity bằng risk đã hiệu chỉnh và value proxy</t>
  </si>
  <si>
    <t>Ai cần liên hệ trước khi capacity hữu hạn, sau khi tách xác suất churn khỏi value?</t>
  </si>
  <si>
    <t>MonthlyRevenue (value proxy)</t>
  </si>
  <si>
    <t>Model: calibrated RiskScore; Derived: RiskTier, ValueTier, ExpectedRevenueExposure = p(churn) × MonthlyRevenue, PrioritySegment; Support: reason code, eligibility/exclusion</t>
  </si>
  <si>
    <t>Eligible n; OOF/holdout lift, recall, precision@5/10/20%; expected churners; expected revenue exposure; reason coverage</t>
  </si>
  <si>
    <t>Cố định tier BQ08; ma trận 2×2 risk × value; rank eligible theo p(churn) × revenue; so sánh risk-only cùng capacity; sensitivity/fairness</t>
  </si>
  <si>
    <t>C18</t>
  </si>
  <si>
    <t>P1 high risk/high value; P2 high risk/lower value; P3 lower risk/high value; P4 BAU</t>
  </si>
  <si>
    <t>Ranking + segment dictionary; OOF/holdout only; threshold theo capacity; exposure proxy không phải CLV/ROI</t>
  </si>
  <si>
    <t>Data compatibility</t>
  </si>
  <si>
    <t>Risk × value priority</t>
  </si>
  <si>
    <t>Device–data compatibility</t>
  </si>
  <si>
    <t>BQ06 audit + BQ07 adjusted effect</t>
  </si>
  <si>
    <t>Compatibility/config check; data-service guidance; device offer only if available</t>
  </si>
  <si>
    <t>Incremental churn reduction; issue resolution</t>
  </si>
  <si>
    <t>Contact burden; complaints; treatment cost</t>
  </si>
  <si>
    <t>Risk × value prioritization</t>
  </si>
  <si>
    <t>BQ08; BQ17–BQ18</t>
  </si>
  <si>
    <t>P1: priority care; P2: low-cost retention; P3: monitor</t>
  </si>
  <si>
    <t>Same-segment BAU/control</t>
  </si>
  <si>
    <t>Churn reduction + retained monthly revenue proxy</t>
  </si>
  <si>
    <t>Cost per save; revenue dilution; fairness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</si>
</sst>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sz val="10"/>
      <color rgb="FF1F2937"/>
      <name val="Arial"/>
    </font>
    <font>
      <b/>
      <sz val="16"/>
      <color rgb="FF17365D"/>
      <name val="Arial"/>
    </font>
    <font>
      <i/>
      <sz val="10"/>
      <color rgb="FF666666"/>
      <name val="Arial"/>
    </font>
    <font>
      <b/>
      <sz val="10"/>
      <color rgb="FFFFFFFF"/>
      <name val="Arial"/>
    </font>
    <font>
      <b/>
      <sz val="9"/>
      <color rgb="FFFFFFFF"/>
      <name val="Arial"/>
    </font>
    <font>
      <b/>
      <sz val="10"/>
      <color rgb="FF17365D"/>
      <name val="Arial"/>
    </font>
    <font>
      <b/>
      <sz val="10"/>
      <color rgb="FFC00000"/>
      <name val="Arial"/>
    </font>
  </fonts>
  <fills count="13">
    <fill>
      <patternFill patternType="none"/>
    </fill>
    <fill>
      <patternFill patternType="gray125"/>
    </fill>
    <fill>
      <patternFill patternType="solid">
        <fgColor rgb="FF17365D"/>
      </patternFill>
    </fill>
    <fill>
      <patternFill patternType="solid">
        <fgColor rgb="FFEAF3F8"/>
      </patternFill>
    </fill>
    <fill>
      <patternFill patternType="solid">
        <fgColor rgb="FF2F75B5"/>
      </patternFill>
    </fill>
    <fill>
      <patternFill patternType="solid">
        <fgColor rgb="FF0097A7"/>
      </patternFill>
    </fill>
    <fill>
      <patternFill patternType="solid">
        <fgColor rgb="FFD6A600"/>
      </patternFill>
    </fill>
    <fill>
      <patternFill patternType="solid">
        <fgColor rgb="FFFFF2CC"/>
      </patternFill>
    </fill>
    <fill>
      <patternFill patternType="solid">
        <fgColor rgb="FFE2F0F2"/>
      </patternFill>
    </fill>
    <fill>
      <patternFill patternType="solid">
        <fgColor rgb="FFF2F2F2"/>
      </patternFill>
    </fill>
    <fill>
      <patternFill patternType="solid">
        <fgColor rgb="FFFFF2CC"/>
      </patternFill>
    </fill>
    <fill>
      <patternFill patternType="solid">
        <fgColor rgb="FFFCE4D6"/>
      </patternFill>
    </fill>
    <fill>
      <patternFill patternType="solid">
        <fgColor rgb="FFD6A600"/>
      </patternFill>
    </fill>
  </fills>
  <borders count="12">
    <border>
      <left/>
      <right/>
      <top/>
      <bottom/>
      <diagonal/>
    </border>
    <border>
      <left/>
      <right style="thin">
        <color rgb="FFFFFFFF"/>
      </right>
      <top/>
      <bottom style="medium">
        <color rgb="FF17365D"/>
      </bottom>
      <diagonal/>
    </border>
    <border>
      <left style="thin">
        <color rgb="FFFFFFFF"/>
      </left>
      <right style="thin">
        <color rgb="FFFFFFFF"/>
      </right>
      <top/>
      <bottom style="medium">
        <color rgb="FF17365D"/>
      </bottom>
      <diagonal/>
    </border>
    <border>
      <left style="thin">
        <color rgb="FFFFFFFF"/>
      </left>
      <right/>
      <top/>
      <bottom style="medium">
        <color rgb="FF17365D"/>
      </bottom>
      <diagonal/>
    </border>
    <border>
      <left style="thin">
        <color rgb="FFB7C9D6"/>
      </left>
      <right style="thin">
        <color rgb="FFFFFFFF"/>
      </right>
      <top style="thin">
        <color rgb="FFB7C9D6"/>
      </top>
      <bottom style="medium">
        <color rgb="FF17365D"/>
      </bottom>
      <diagonal/>
    </border>
    <border>
      <left style="thin">
        <color rgb="FFFFFFFF"/>
      </left>
      <right style="thin">
        <color rgb="FFFFFFFF"/>
      </right>
      <top style="thin">
        <color rgb="FFB7C9D6"/>
      </top>
      <bottom style="medium">
        <color rgb="FF17365D"/>
      </bottom>
      <diagonal/>
    </border>
    <border>
      <left style="thin">
        <color rgb="FFFFFFFF"/>
      </left>
      <right style="thin">
        <color rgb="FFB7C9D6"/>
      </right>
      <top style="thin">
        <color rgb="FFB7C9D6"/>
      </top>
      <bottom style="medium">
        <color rgb="FF17365D"/>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s>
  <cellStyleXfs count="1">
    <xf numFmtId="0" fontId="0" fillId="0" borderId="0"/>
  </cellStyleXfs>
  <cellXfs count="54">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3" borderId="0" xfId="0" applyFont="1" applyFill="1" applyAlignment="1">
      <alignment vertical="center"/>
    </xf>
    <xf numFmtId="0" fontId="1" fillId="3" borderId="0" xfId="0" applyFont="1" applyFill="1" applyAlignment="1">
      <alignment vertical="center" wrapText="1"/>
    </xf>
    <xf numFmtId="0" fontId="1" fillId="0" borderId="0" xfId="0" applyFont="1" applyAlignment="1">
      <alignment vertical="center" wrapText="1"/>
    </xf>
    <xf numFmtId="1" fontId="1" fillId="3" borderId="0" xfId="0" applyNumberFormat="1" applyFont="1" applyFill="1" applyAlignment="1">
      <alignment vertical="center" wrapText="1"/>
    </xf>
    <xf numFmtId="1" fontId="1" fillId="0" borderId="0" xfId="0" applyNumberFormat="1" applyFont="1" applyAlignment="1">
      <alignment vertical="center" wrapText="1"/>
    </xf>
    <xf numFmtId="9" fontId="1" fillId="3" borderId="0" xfId="0" applyNumberFormat="1" applyFont="1" applyFill="1" applyAlignment="1">
      <alignment vertical="center" wrapText="1"/>
    </xf>
    <xf numFmtId="9" fontId="1" fillId="0" borderId="0" xfId="0" applyNumberFormat="1" applyFont="1" applyAlignment="1">
      <alignment vertical="center" wrapText="1"/>
    </xf>
    <xf numFmtId="0" fontId="5" fillId="3" borderId="0" xfId="0" applyFont="1" applyFill="1" applyAlignment="1">
      <alignment horizontal="center" vertical="center"/>
    </xf>
    <xf numFmtId="0" fontId="5" fillId="0" borderId="0" xfId="0" applyFont="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1" fillId="3" borderId="7" xfId="0" applyFont="1" applyFill="1" applyBorder="1" applyAlignment="1">
      <alignment vertical="center" wrapText="1"/>
    </xf>
    <xf numFmtId="9" fontId="1" fillId="3" borderId="8" xfId="0" applyNumberFormat="1" applyFont="1" applyFill="1" applyBorder="1" applyAlignment="1">
      <alignment vertical="center" wrapText="1"/>
    </xf>
    <xf numFmtId="0" fontId="1" fillId="7" borderId="7" xfId="0" applyFont="1" applyFill="1" applyBorder="1" applyAlignment="1">
      <alignment vertical="center" wrapText="1"/>
    </xf>
    <xf numFmtId="0" fontId="1" fillId="7" borderId="0" xfId="0" applyFont="1" applyFill="1" applyAlignment="1">
      <alignment vertical="center" wrapText="1"/>
    </xf>
    <xf numFmtId="0" fontId="1" fillId="7" borderId="8" xfId="0" applyFont="1" applyFill="1" applyBorder="1" applyAlignment="1">
      <alignment vertical="center" wrapText="1"/>
    </xf>
    <xf numFmtId="0" fontId="1" fillId="9" borderId="7" xfId="0" applyFont="1" applyFill="1" applyBorder="1" applyAlignment="1">
      <alignment vertical="center" wrapText="1"/>
    </xf>
    <xf numFmtId="0" fontId="1" fillId="9" borderId="0" xfId="0" applyFont="1" applyFill="1" applyAlignment="1">
      <alignment vertical="center" wrapText="1"/>
    </xf>
    <xf numFmtId="0" fontId="1" fillId="9" borderId="8" xfId="0" applyFont="1" applyFill="1" applyBorder="1" applyAlignment="1">
      <alignment vertical="center" wrapText="1"/>
    </xf>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9" fontId="1" fillId="3" borderId="11" xfId="0" applyNumberFormat="1" applyFont="1" applyFill="1" applyBorder="1" applyAlignment="1">
      <alignment vertical="center" wrapText="1"/>
    </xf>
    <xf numFmtId="0" fontId="1" fillId="7" borderId="9" xfId="0" applyFont="1" applyFill="1" applyBorder="1" applyAlignment="1">
      <alignment vertical="center" wrapText="1"/>
    </xf>
    <xf numFmtId="0" fontId="1" fillId="7" borderId="10" xfId="0" applyFont="1" applyFill="1" applyBorder="1" applyAlignment="1">
      <alignment vertical="center" wrapText="1"/>
    </xf>
    <xf numFmtId="0" fontId="1" fillId="7" borderId="11" xfId="0" applyFont="1" applyFill="1" applyBorder="1" applyAlignment="1">
      <alignment vertical="center" wrapText="1"/>
    </xf>
    <xf numFmtId="0" fontId="1" fillId="8" borderId="7" xfId="0" applyFont="1" applyFill="1" applyBorder="1" applyAlignment="1">
      <alignment vertical="center" wrapText="1"/>
    </xf>
    <xf numFmtId="0" fontId="1" fillId="8" borderId="0" xfId="0" applyFont="1" applyFill="1" applyAlignment="1">
      <alignment vertical="center" wrapText="1"/>
    </xf>
    <xf numFmtId="0" fontId="1" fillId="8" borderId="8" xfId="0" applyFont="1" applyFill="1" applyBorder="1" applyAlignment="1">
      <alignment vertical="center" wrapText="1"/>
    </xf>
    <xf numFmtId="0" fontId="1" fillId="9" borderId="9" xfId="0" applyFont="1" applyFill="1" applyBorder="1" applyAlignment="1">
      <alignment vertical="center" wrapText="1"/>
    </xf>
    <xf numFmtId="0" fontId="1" fillId="9" borderId="10" xfId="0" applyFont="1" applyFill="1" applyBorder="1" applyAlignment="1">
      <alignment vertical="center" wrapText="1"/>
    </xf>
    <xf numFmtId="0" fontId="1" fillId="9" borderId="11" xfId="0" applyFont="1" applyFill="1" applyBorder="1" applyAlignment="1">
      <alignment vertical="center" wrapText="1"/>
    </xf>
    <xf numFmtId="0" fontId="1" fillId="8" borderId="9" xfId="0" applyFont="1" applyFill="1" applyBorder="1" applyAlignment="1">
      <alignment vertical="center" wrapText="1"/>
    </xf>
    <xf numFmtId="0" fontId="1" fillId="8" borderId="10" xfId="0" applyFont="1" applyFill="1" applyBorder="1" applyAlignment="1">
      <alignment vertical="center" wrapText="1"/>
    </xf>
    <xf numFmtId="0" fontId="1" fillId="8" borderId="11" xfId="0" applyFont="1" applyFill="1" applyBorder="1" applyAlignment="1">
      <alignment vertical="center" wrapText="1"/>
    </xf>
    <xf numFmtId="0" fontId="6" fillId="10" borderId="0" xfId="0" applyFont="1" applyFill="1" applyAlignment="1">
      <alignment vertical="center" wrapText="1"/>
    </xf>
    <xf numFmtId="0" fontId="1" fillId="10" borderId="0" xfId="0" applyFont="1" applyFill="1" applyAlignment="1">
      <alignment vertical="center" wrapText="1"/>
    </xf>
    <xf numFmtId="1" fontId="1" fillId="10" borderId="0" xfId="0" applyNumberFormat="1" applyFont="1" applyFill="1" applyAlignment="1">
      <alignment vertical="center" wrapText="1"/>
    </xf>
    <xf numFmtId="9" fontId="1" fillId="10" borderId="0" xfId="0" applyNumberFormat="1" applyFont="1" applyFill="1" applyAlignment="1">
      <alignment vertical="center" wrapText="1"/>
    </xf>
    <xf numFmtId="0" fontId="7" fillId="11" borderId="0" xfId="0" applyFont="1" applyFill="1" applyAlignment="1">
      <alignment vertical="center" wrapText="1"/>
    </xf>
    <xf numFmtId="0" fontId="6" fillId="10" borderId="0" xfId="0" applyFont="1" applyFill="1" applyAlignment="1">
      <alignment vertical="center"/>
    </xf>
    <xf numFmtId="0" fontId="5" fillId="12" borderId="0" xfId="0" applyFont="1" applyFill="1" applyAlignment="1">
      <alignment horizontal="center" vertical="center"/>
    </xf>
    <xf numFmtId="0" fontId="6" fillId="10" borderId="7" xfId="0" applyFont="1" applyFill="1" applyBorder="1" applyAlignment="1">
      <alignment vertical="center" wrapText="1"/>
    </xf>
    <xf numFmtId="0" fontId="1" fillId="10" borderId="8" xfId="0" applyFont="1" applyFill="1" applyBorder="1" applyAlignment="1">
      <alignment vertical="center" wrapText="1"/>
    </xf>
  </cellXfs>
  <cellStyles count="1">
    <cellStyle name="Normal" xfId="0" builtinId="0"/>
  </cellStyles>
  <dxfs count="14">
    <dxf>
      <font>
        <b/>
        <color rgb="FF9C0006"/>
      </font>
      <fill>
        <patternFill>
          <bgColor rgb="FFFCE4D6"/>
        </patternFill>
      </fill>
    </dxf>
    <dxf>
      <font>
        <b/>
        <color rgb="FF7F6000"/>
      </font>
      <fill>
        <patternFill>
          <bgColor rgb="FFFFF2CC"/>
        </patternFill>
      </fill>
    </dxf>
    <dxf>
      <font>
        <b/>
        <color rgb="FF375623"/>
      </font>
      <fill>
        <patternFill>
          <bgColor rgb="FFE2F0D9"/>
        </patternFill>
      </fill>
    </dxf>
    <dxf>
      <font>
        <b/>
        <color rgb="FF9C0006"/>
      </font>
      <fill>
        <patternFill>
          <bgColor rgb="FFFCE4D6"/>
        </patternFill>
      </fill>
    </dxf>
    <dxf>
      <font>
        <b/>
        <color rgb="FF7F6000"/>
      </font>
      <fill>
        <patternFill>
          <bgColor rgb="FFFFF2CC"/>
        </patternFill>
      </fill>
    </dxf>
    <dxf>
      <font>
        <b/>
        <color rgb="FF375623"/>
      </font>
      <fill>
        <patternFill>
          <bgColor rgb="FFE2F0D9"/>
        </patternFill>
      </fill>
    </dxf>
    <dxf>
      <font>
        <b/>
        <color rgb="FF9C0006"/>
      </font>
      <fill>
        <patternFill>
          <bgColor rgb="FFFCE4D6"/>
        </patternFill>
      </fill>
    </dxf>
    <dxf>
      <font>
        <b/>
        <color rgb="FF7F6000"/>
      </font>
      <fill>
        <patternFill>
          <bgColor rgb="FFFFF2CC"/>
        </patternFill>
      </fill>
    </dxf>
    <dxf>
      <font>
        <b/>
        <color rgb="FF375623"/>
      </font>
      <fill>
        <patternFill>
          <bgColor rgb="FFE2F0D9"/>
        </patternFill>
      </fill>
    </dxf>
    <dxf>
      <font>
        <b/>
        <color rgb="FF7F6000"/>
      </font>
      <fill>
        <patternFill>
          <bgColor rgb="FFFFF2CC"/>
        </patternFill>
      </fill>
    </dxf>
    <dxf>
      <font>
        <b/>
        <color rgb="FFC00000"/>
      </font>
      <fill>
        <patternFill>
          <bgColor rgb="FFFCE4D6"/>
        </patternFill>
      </fill>
    </dxf>
    <dxf>
      <font>
        <b/>
        <color rgb="FF9C0006"/>
      </font>
      <fill>
        <patternFill>
          <bgColor rgb="FFFCE4D6"/>
        </patternFill>
      </fill>
    </dxf>
    <dxf>
      <font>
        <b/>
        <color rgb="FF7F6000"/>
      </font>
      <fill>
        <patternFill>
          <bgColor rgb="FFFFF2CC"/>
        </patternFill>
      </fill>
    </dxf>
    <dxf>
      <font>
        <b/>
        <color rgb="FF375623"/>
      </font>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M20"/>
  <sheetViews>
    <sheetView showGridLines="0" workbookViewId="0">
      <pane xSplit="2" ySplit="5" topLeftCell="G13" activePane="bottomRight" state="frozen"/>
      <selection pane="topRight"/>
      <selection pane="bottomLeft"/>
      <selection pane="bottomRight" activeCell="C6" sqref="C6"/>
    </sheetView>
  </sheetViews>
  <sheetFormatPr defaultRowHeight="13.8"/>
  <cols>
    <col min="1" max="1" width="11" customWidth="1"/>
    <col min="2" max="2" width="9" customWidth="1"/>
    <col min="3" max="3" width="22" customWidth="1"/>
    <col min="4" max="4" width="27" customWidth="1"/>
    <col min="5" max="5" width="15" customWidth="1"/>
    <col min="6" max="6" width="38" customWidth="1"/>
    <col min="7" max="7" width="29" customWidth="1"/>
    <col min="8" max="8" width="15" customWidth="1"/>
    <col min="9" max="9" width="38" customWidth="1"/>
    <col min="10" max="10" width="29" customWidth="1"/>
    <col min="11" max="11" width="26" customWidth="1"/>
    <col min="12" max="12" width="22" customWidth="1"/>
    <col min="13" max="13" width="15" customWidth="1"/>
  </cols>
  <sheetData>
    <row r="1" spans="1:13">
      <c r="A1" s="1"/>
      <c r="B1" s="1"/>
      <c r="C1" s="1"/>
      <c r="D1" s="1"/>
      <c r="E1" s="1"/>
      <c r="F1" s="1"/>
      <c r="G1" s="1"/>
      <c r="H1" s="1"/>
      <c r="I1" s="1"/>
      <c r="J1" s="1"/>
      <c r="K1" s="1"/>
      <c r="L1" s="1"/>
      <c r="M1" s="1"/>
    </row>
    <row r="2" spans="1:13" ht="21">
      <c r="A2" s="2" t="s">
        <v>0</v>
      </c>
      <c r="B2" s="1"/>
      <c r="C2" s="1"/>
      <c r="D2" s="1"/>
      <c r="E2" s="1"/>
      <c r="F2" s="1"/>
      <c r="G2" s="1"/>
      <c r="H2" s="1"/>
      <c r="I2" s="1"/>
      <c r="J2" s="1"/>
      <c r="K2" s="1"/>
      <c r="L2" s="1"/>
      <c r="M2" s="1"/>
    </row>
    <row r="3" spans="1:13">
      <c r="A3" s="3" t="s">
        <v>1</v>
      </c>
      <c r="B3" s="3"/>
      <c r="C3" s="3"/>
      <c r="D3" s="3"/>
      <c r="E3" s="3"/>
      <c r="F3" s="3"/>
      <c r="G3" s="3"/>
      <c r="H3" s="3"/>
      <c r="I3" s="3"/>
      <c r="J3" s="3"/>
      <c r="K3" s="3"/>
      <c r="L3" s="3"/>
      <c r="M3" s="3"/>
    </row>
    <row r="4" spans="1:13">
      <c r="A4" s="1"/>
      <c r="B4" s="1"/>
      <c r="C4" s="1"/>
      <c r="D4" s="1"/>
      <c r="E4" s="1"/>
      <c r="F4" s="1"/>
      <c r="G4" s="1"/>
      <c r="H4" s="1"/>
      <c r="I4" s="1"/>
      <c r="J4" s="1"/>
      <c r="K4" s="1"/>
      <c r="L4" s="1"/>
      <c r="M4" s="1"/>
    </row>
    <row r="5" spans="1:13">
      <c r="A5" s="4" t="s">
        <v>2</v>
      </c>
      <c r="B5" s="5" t="s">
        <v>3</v>
      </c>
      <c r="C5" s="5" t="s">
        <v>4</v>
      </c>
      <c r="D5" s="5" t="s">
        <v>5</v>
      </c>
      <c r="E5" s="5" t="s">
        <v>6</v>
      </c>
      <c r="F5" s="5" t="s">
        <v>7</v>
      </c>
      <c r="G5" s="5" t="s">
        <v>8</v>
      </c>
      <c r="H5" s="5" t="s">
        <v>9</v>
      </c>
      <c r="I5" s="5" t="s">
        <v>10</v>
      </c>
      <c r="J5" s="5" t="s">
        <v>11</v>
      </c>
      <c r="K5" s="5" t="s">
        <v>12</v>
      </c>
      <c r="L5" s="5" t="s">
        <v>13</v>
      </c>
      <c r="M5" s="6" t="s">
        <v>14</v>
      </c>
    </row>
    <row r="6" spans="1:13" ht="54" customHeight="1">
      <c r="A6" s="8" t="s">
        <v>15</v>
      </c>
      <c r="B6" s="8" t="s">
        <v>16</v>
      </c>
      <c r="C6" s="8" t="s">
        <v>17</v>
      </c>
      <c r="D6" s="8" t="s">
        <v>18</v>
      </c>
      <c r="E6" s="8" t="s">
        <v>19</v>
      </c>
      <c r="F6" s="8" t="s">
        <v>20</v>
      </c>
      <c r="G6" s="8" t="s">
        <v>21</v>
      </c>
      <c r="H6" s="8" t="s">
        <v>22</v>
      </c>
      <c r="I6" s="8" t="s">
        <v>23</v>
      </c>
      <c r="J6" s="8" t="s">
        <v>24</v>
      </c>
      <c r="K6" s="8" t="s">
        <v>25</v>
      </c>
      <c r="L6" s="8" t="s">
        <v>26</v>
      </c>
      <c r="M6" s="8" t="s">
        <v>27</v>
      </c>
    </row>
    <row r="7" spans="1:13" ht="54" customHeight="1">
      <c r="A7" s="9" t="s">
        <v>15</v>
      </c>
      <c r="B7" s="9" t="s">
        <v>28</v>
      </c>
      <c r="C7" s="9" t="s">
        <v>17</v>
      </c>
      <c r="D7" s="9" t="s">
        <v>29</v>
      </c>
      <c r="E7" s="9" t="s">
        <v>30</v>
      </c>
      <c r="F7" s="9" t="s">
        <v>31</v>
      </c>
      <c r="G7" s="9" t="s">
        <v>32</v>
      </c>
      <c r="H7" s="9" t="s">
        <v>33</v>
      </c>
      <c r="I7" s="9" t="s">
        <v>34</v>
      </c>
      <c r="J7" s="9" t="s">
        <v>35</v>
      </c>
      <c r="K7" s="9" t="s">
        <v>36</v>
      </c>
      <c r="L7" s="9" t="s">
        <v>19</v>
      </c>
      <c r="M7" s="9" t="s">
        <v>27</v>
      </c>
    </row>
    <row r="8" spans="1:13" ht="54" customHeight="1">
      <c r="A8" s="8" t="s">
        <v>15</v>
      </c>
      <c r="B8" s="8" t="s">
        <v>37</v>
      </c>
      <c r="C8" s="8" t="s">
        <v>38</v>
      </c>
      <c r="D8" s="8" t="s">
        <v>39</v>
      </c>
      <c r="E8" s="8" t="s">
        <v>40</v>
      </c>
      <c r="F8" s="8" t="s">
        <v>41</v>
      </c>
      <c r="G8" s="8" t="s">
        <v>42</v>
      </c>
      <c r="H8" s="8" t="s">
        <v>43</v>
      </c>
      <c r="I8" s="8" t="s">
        <v>44</v>
      </c>
      <c r="J8" s="8" t="s">
        <v>45</v>
      </c>
      <c r="K8" s="8" t="s">
        <v>46</v>
      </c>
      <c r="L8" s="8" t="s">
        <v>47</v>
      </c>
      <c r="M8" s="8" t="s">
        <v>27</v>
      </c>
    </row>
    <row r="9" spans="1:13" ht="54" customHeight="1">
      <c r="A9" s="9" t="s">
        <v>15</v>
      </c>
      <c r="B9" s="9" t="s">
        <v>48</v>
      </c>
      <c r="C9" s="9" t="s">
        <v>49</v>
      </c>
      <c r="D9" s="9" t="s">
        <v>50</v>
      </c>
      <c r="E9" s="9" t="s">
        <v>51</v>
      </c>
      <c r="F9" s="9" t="s">
        <v>52</v>
      </c>
      <c r="G9" s="9" t="s">
        <v>53</v>
      </c>
      <c r="H9" s="9" t="s">
        <v>54</v>
      </c>
      <c r="I9" s="9" t="s">
        <v>55</v>
      </c>
      <c r="J9" s="9" t="s">
        <v>56</v>
      </c>
      <c r="K9" s="9" t="s">
        <v>57</v>
      </c>
      <c r="L9" s="9" t="s">
        <v>58</v>
      </c>
      <c r="M9" s="9" t="s">
        <v>27</v>
      </c>
    </row>
    <row r="10" spans="1:13" ht="54" customHeight="1">
      <c r="A10" s="8" t="s">
        <v>15</v>
      </c>
      <c r="B10" s="8" t="s">
        <v>59</v>
      </c>
      <c r="C10" s="8" t="s">
        <v>60</v>
      </c>
      <c r="D10" s="8" t="s">
        <v>61</v>
      </c>
      <c r="E10" s="8" t="s">
        <v>62</v>
      </c>
      <c r="F10" s="8" t="s">
        <v>63</v>
      </c>
      <c r="G10" s="8" t="s">
        <v>64</v>
      </c>
      <c r="H10" s="8" t="s">
        <v>65</v>
      </c>
      <c r="I10" s="8" t="s">
        <v>66</v>
      </c>
      <c r="J10" s="8" t="s">
        <v>67</v>
      </c>
      <c r="K10" s="8" t="s">
        <v>68</v>
      </c>
      <c r="L10" s="8" t="s">
        <v>33</v>
      </c>
      <c r="M10" s="8" t="s">
        <v>27</v>
      </c>
    </row>
    <row r="11" spans="1:13" ht="61.95" customHeight="1">
      <c r="A11" s="9" t="s">
        <v>69</v>
      </c>
      <c r="B11" s="9" t="s">
        <v>70</v>
      </c>
      <c r="C11" s="9" t="s">
        <v>60</v>
      </c>
      <c r="D11" s="45" t="s">
        <v>459</v>
      </c>
      <c r="E11" s="45" t="s">
        <v>369</v>
      </c>
      <c r="F11" s="45" t="s">
        <v>460</v>
      </c>
      <c r="G11" s="45" t="s">
        <v>461</v>
      </c>
      <c r="H11" s="9" t="s">
        <v>71</v>
      </c>
      <c r="I11" s="9" t="s">
        <v>72</v>
      </c>
      <c r="J11" s="9" t="s">
        <v>73</v>
      </c>
      <c r="K11" s="45" t="s">
        <v>462</v>
      </c>
      <c r="L11" s="9" t="s">
        <v>74</v>
      </c>
      <c r="M11" s="9" t="s">
        <v>27</v>
      </c>
    </row>
    <row r="12" spans="1:13" ht="54" customHeight="1">
      <c r="A12" s="8" t="s">
        <v>69</v>
      </c>
      <c r="B12" s="8" t="s">
        <v>75</v>
      </c>
      <c r="C12" s="8" t="s">
        <v>76</v>
      </c>
      <c r="D12" s="8" t="s">
        <v>77</v>
      </c>
      <c r="E12" s="8" t="s">
        <v>78</v>
      </c>
      <c r="F12" s="8" t="s">
        <v>79</v>
      </c>
      <c r="G12" s="8" t="s">
        <v>80</v>
      </c>
      <c r="H12" s="8" t="s">
        <v>81</v>
      </c>
      <c r="I12" s="8" t="s">
        <v>82</v>
      </c>
      <c r="J12" s="8" t="s">
        <v>83</v>
      </c>
      <c r="K12" s="8" t="s">
        <v>84</v>
      </c>
      <c r="L12" s="8" t="s">
        <v>85</v>
      </c>
      <c r="M12" s="8" t="s">
        <v>27</v>
      </c>
    </row>
    <row r="13" spans="1:13" ht="54" customHeight="1">
      <c r="A13" s="9" t="s">
        <v>69</v>
      </c>
      <c r="B13" s="9" t="s">
        <v>86</v>
      </c>
      <c r="C13" s="9" t="s">
        <v>76</v>
      </c>
      <c r="D13" s="9" t="s">
        <v>87</v>
      </c>
      <c r="E13" s="9" t="s">
        <v>88</v>
      </c>
      <c r="F13" s="9" t="s">
        <v>89</v>
      </c>
      <c r="G13" s="9" t="s">
        <v>90</v>
      </c>
      <c r="H13" s="9" t="s">
        <v>91</v>
      </c>
      <c r="I13" s="9" t="s">
        <v>92</v>
      </c>
      <c r="J13" s="9" t="s">
        <v>93</v>
      </c>
      <c r="K13" s="9" t="s">
        <v>94</v>
      </c>
      <c r="L13" s="9" t="s">
        <v>95</v>
      </c>
      <c r="M13" s="9" t="s">
        <v>27</v>
      </c>
    </row>
    <row r="14" spans="1:13" ht="54" customHeight="1">
      <c r="A14" s="8" t="s">
        <v>69</v>
      </c>
      <c r="B14" s="8" t="s">
        <v>96</v>
      </c>
      <c r="C14" s="8" t="s">
        <v>97</v>
      </c>
      <c r="D14" s="8" t="s">
        <v>98</v>
      </c>
      <c r="E14" s="8" t="s">
        <v>99</v>
      </c>
      <c r="F14" s="8" t="s">
        <v>100</v>
      </c>
      <c r="G14" s="8" t="s">
        <v>101</v>
      </c>
      <c r="H14" s="8" t="s">
        <v>102</v>
      </c>
      <c r="I14" s="8" t="s">
        <v>103</v>
      </c>
      <c r="J14" s="8" t="s">
        <v>104</v>
      </c>
      <c r="K14" s="8" t="s">
        <v>105</v>
      </c>
      <c r="L14" s="8" t="s">
        <v>106</v>
      </c>
      <c r="M14" s="8" t="s">
        <v>27</v>
      </c>
    </row>
    <row r="15" spans="1:13" ht="54" customHeight="1">
      <c r="A15" s="9" t="s">
        <v>69</v>
      </c>
      <c r="B15" s="9" t="s">
        <v>107</v>
      </c>
      <c r="C15" s="9" t="s">
        <v>97</v>
      </c>
      <c r="D15" s="9" t="s">
        <v>108</v>
      </c>
      <c r="E15" s="9" t="s">
        <v>99</v>
      </c>
      <c r="F15" s="9" t="s">
        <v>109</v>
      </c>
      <c r="G15" s="9" t="s">
        <v>110</v>
      </c>
      <c r="H15" s="9" t="s">
        <v>111</v>
      </c>
      <c r="I15" s="9" t="s">
        <v>112</v>
      </c>
      <c r="J15" s="9" t="s">
        <v>113</v>
      </c>
      <c r="K15" s="9" t="s">
        <v>114</v>
      </c>
      <c r="L15" s="9" t="s">
        <v>99</v>
      </c>
      <c r="M15" s="9" t="s">
        <v>27</v>
      </c>
    </row>
    <row r="16" spans="1:13" ht="36" customHeight="1">
      <c r="A16" s="8" t="s">
        <v>115</v>
      </c>
      <c r="B16" s="8" t="s">
        <v>116</v>
      </c>
      <c r="C16" s="8" t="s">
        <v>97</v>
      </c>
      <c r="D16" s="8" t="s">
        <v>463</v>
      </c>
      <c r="E16" s="8" t="s">
        <v>464</v>
      </c>
      <c r="F16" s="8" t="s">
        <v>465</v>
      </c>
      <c r="G16" s="8" t="s">
        <v>466</v>
      </c>
      <c r="H16" s="8" t="s">
        <v>111</v>
      </c>
      <c r="I16" s="8" t="s">
        <v>117</v>
      </c>
      <c r="J16" s="8" t="s">
        <v>118</v>
      </c>
      <c r="K16" s="8" t="s">
        <v>467</v>
      </c>
      <c r="L16" s="8" t="s">
        <v>468</v>
      </c>
      <c r="M16" s="8" t="s">
        <v>27</v>
      </c>
    </row>
    <row r="17" spans="1:13" ht="36" customHeight="1">
      <c r="A17" s="9" t="s">
        <v>115</v>
      </c>
      <c r="B17" s="9" t="s">
        <v>119</v>
      </c>
      <c r="C17" s="9" t="s">
        <v>120</v>
      </c>
      <c r="D17" s="9" t="s">
        <v>469</v>
      </c>
      <c r="E17" s="9" t="s">
        <v>323</v>
      </c>
      <c r="F17" s="9" t="s">
        <v>470</v>
      </c>
      <c r="G17" s="9" t="s">
        <v>471</v>
      </c>
      <c r="H17" s="9" t="s">
        <v>121</v>
      </c>
      <c r="I17" s="9" t="s">
        <v>122</v>
      </c>
      <c r="J17" s="9" t="s">
        <v>123</v>
      </c>
      <c r="K17" s="9" t="s">
        <v>472</v>
      </c>
      <c r="L17" s="9" t="s">
        <v>468</v>
      </c>
      <c r="M17" s="9" t="s">
        <v>27</v>
      </c>
    </row>
    <row r="18" spans="1:13" ht="54" customHeight="1">
      <c r="A18" s="8" t="s">
        <v>115</v>
      </c>
      <c r="B18" s="8" t="s">
        <v>124</v>
      </c>
      <c r="C18" s="8" t="s">
        <v>125</v>
      </c>
      <c r="D18" s="8" t="s">
        <v>126</v>
      </c>
      <c r="E18" s="8" t="s">
        <v>121</v>
      </c>
      <c r="F18" s="8" t="s">
        <v>127</v>
      </c>
      <c r="G18" s="8" t="s">
        <v>128</v>
      </c>
      <c r="H18" s="8" t="s">
        <v>121</v>
      </c>
      <c r="I18" s="8" t="s">
        <v>129</v>
      </c>
      <c r="J18" s="8" t="s">
        <v>130</v>
      </c>
      <c r="K18" s="8" t="s">
        <v>131</v>
      </c>
      <c r="L18" s="8" t="s">
        <v>132</v>
      </c>
      <c r="M18" s="8" t="s">
        <v>27</v>
      </c>
    </row>
    <row r="19" spans="1:13" ht="54" customHeight="1">
      <c r="A19" s="9" t="s">
        <v>115</v>
      </c>
      <c r="B19" s="9" t="s">
        <v>133</v>
      </c>
      <c r="C19" s="9" t="s">
        <v>134</v>
      </c>
      <c r="D19" s="9" t="s">
        <v>135</v>
      </c>
      <c r="E19" s="9" t="s">
        <v>136</v>
      </c>
      <c r="F19" s="9" t="s">
        <v>137</v>
      </c>
      <c r="G19" s="9" t="s">
        <v>138</v>
      </c>
      <c r="H19" s="9" t="s">
        <v>136</v>
      </c>
      <c r="I19" s="9" t="s">
        <v>139</v>
      </c>
      <c r="J19" s="9" t="s">
        <v>140</v>
      </c>
      <c r="K19" s="9" t="s">
        <v>141</v>
      </c>
      <c r="L19" s="9" t="s">
        <v>121</v>
      </c>
      <c r="M19" s="9" t="s">
        <v>27</v>
      </c>
    </row>
    <row r="20" spans="1:13" ht="54" customHeight="1">
      <c r="A20" s="8" t="s">
        <v>115</v>
      </c>
      <c r="B20" s="8" t="s">
        <v>142</v>
      </c>
      <c r="C20" s="8" t="s">
        <v>143</v>
      </c>
      <c r="D20" s="8" t="s">
        <v>144</v>
      </c>
      <c r="E20" s="8" t="s">
        <v>145</v>
      </c>
      <c r="F20" s="8" t="s">
        <v>146</v>
      </c>
      <c r="G20" s="8" t="s">
        <v>147</v>
      </c>
      <c r="H20" s="8" t="s">
        <v>136</v>
      </c>
      <c r="I20" s="8" t="s">
        <v>148</v>
      </c>
      <c r="J20" s="8" t="s">
        <v>149</v>
      </c>
      <c r="K20" s="8" t="s">
        <v>150</v>
      </c>
      <c r="L20" s="8" t="s">
        <v>151</v>
      </c>
      <c r="M20" s="8" t="s">
        <v>27</v>
      </c>
    </row>
  </sheetData>
  <conditionalFormatting sqref="M6:M20">
    <cfRule type="containsText" dxfId="13" priority="1" operator="containsText" text="Done"/>
    <cfRule type="containsText" dxfId="12" priority="2" operator="containsText" text="In Progress"/>
    <cfRule type="containsText" dxfId="11" priority="3" operator="containsText" text="Blocked"/>
  </conditionalFormatting>
  <dataValidations count="1">
    <dataValidation type="list" sqref="M6:M20" xr:uid="{00000000-0002-0000-0000-000000000000}">
      <formula1>"Not Started,In Progress,Blocked,Done"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sheetPr>
  <dimension ref="A1:S25"/>
  <sheetViews>
    <sheetView showGridLines="0" tabSelected="1" workbookViewId="0">
      <pane xSplit="2" ySplit="5" topLeftCell="C15" activePane="bottomRight" state="frozen"/>
      <selection pane="topRight"/>
      <selection pane="bottomLeft"/>
      <selection pane="bottomRight" activeCell="C5" sqref="C5"/>
    </sheetView>
  </sheetViews>
  <sheetFormatPr defaultRowHeight="13.8"/>
  <cols>
    <col min="1" max="1" width="9" customWidth="1"/>
    <col min="2" max="2" width="20" customWidth="1"/>
    <col min="3" max="4" width="12" customWidth="1"/>
    <col min="5" max="6" width="31" customWidth="1"/>
    <col min="7" max="7" width="32" customWidth="1"/>
    <col min="8" max="8" width="34" customWidth="1"/>
    <col min="9" max="9" width="30" customWidth="1"/>
    <col min="10" max="10" width="32" customWidth="1"/>
    <col min="11" max="11" width="8" customWidth="1"/>
    <col min="12" max="12" width="29" customWidth="1"/>
    <col min="13" max="13" width="34" customWidth="1"/>
    <col min="14" max="14" width="10" customWidth="1"/>
    <col min="15" max="15" width="18" customWidth="1"/>
    <col min="16" max="16" width="14" customWidth="1"/>
    <col min="17" max="17" width="12" customWidth="1"/>
    <col min="18" max="18" width="16" customWidth="1"/>
    <col min="19" max="19" width="15" customWidth="1"/>
  </cols>
  <sheetData>
    <row r="1" spans="1:19">
      <c r="A1" s="1"/>
      <c r="B1" s="1"/>
      <c r="C1" s="1"/>
      <c r="D1" s="1"/>
      <c r="E1" s="1"/>
      <c r="F1" s="1"/>
      <c r="G1" s="1"/>
      <c r="H1" s="1"/>
      <c r="I1" s="1"/>
      <c r="J1" s="1"/>
      <c r="K1" s="1"/>
      <c r="L1" s="1"/>
      <c r="M1" s="1"/>
      <c r="N1" s="1"/>
      <c r="O1" s="1"/>
      <c r="P1" s="1"/>
      <c r="Q1" s="1"/>
      <c r="R1" s="1"/>
      <c r="S1" s="1"/>
    </row>
    <row r="2" spans="1:19" ht="21">
      <c r="A2" s="2" t="s">
        <v>152</v>
      </c>
      <c r="B2" s="1"/>
      <c r="C2" s="1"/>
      <c r="D2" s="1"/>
      <c r="E2" s="1"/>
      <c r="F2" s="1"/>
      <c r="G2" s="1"/>
      <c r="H2" s="1"/>
      <c r="I2" s="1"/>
      <c r="J2" s="1"/>
      <c r="K2" s="1"/>
      <c r="L2" s="1"/>
      <c r="M2" s="1"/>
      <c r="N2" s="1"/>
      <c r="O2" s="1"/>
      <c r="P2" s="1"/>
      <c r="Q2" s="1"/>
      <c r="R2" s="1"/>
      <c r="S2" s="1"/>
    </row>
    <row r="3" spans="1:19">
      <c r="A3" s="3" t="s">
        <v>473</v>
      </c>
      <c r="B3" s="3"/>
      <c r="C3" s="3"/>
      <c r="D3" s="3"/>
      <c r="E3" s="3"/>
      <c r="F3" s="3"/>
      <c r="G3" s="3"/>
      <c r="H3" s="3"/>
      <c r="I3" s="3"/>
      <c r="J3" s="3"/>
      <c r="K3" s="3"/>
      <c r="L3" s="3"/>
      <c r="M3" s="3"/>
      <c r="N3" s="3"/>
      <c r="O3" s="3"/>
      <c r="P3" s="3"/>
      <c r="Q3" s="3"/>
      <c r="R3" s="3"/>
      <c r="S3" s="3"/>
    </row>
    <row r="4" spans="1:19">
      <c r="A4" s="1"/>
      <c r="B4" s="1"/>
      <c r="C4" s="1"/>
      <c r="D4" s="1"/>
      <c r="E4" s="1"/>
      <c r="F4" s="1"/>
      <c r="G4" s="1"/>
      <c r="H4" s="1"/>
      <c r="I4" s="1"/>
      <c r="J4" s="1"/>
      <c r="K4" s="1"/>
      <c r="L4" s="1"/>
      <c r="M4" s="1"/>
      <c r="N4" s="1"/>
      <c r="O4" s="1"/>
      <c r="P4" s="1"/>
      <c r="Q4" s="1"/>
      <c r="R4" s="1"/>
      <c r="S4" s="1"/>
    </row>
    <row r="5" spans="1:19">
      <c r="A5" s="4" t="s">
        <v>153</v>
      </c>
      <c r="B5" s="5" t="s">
        <v>4</v>
      </c>
      <c r="C5" s="5" t="s">
        <v>154</v>
      </c>
      <c r="D5" s="5" t="s">
        <v>155</v>
      </c>
      <c r="E5" s="5" t="s">
        <v>156</v>
      </c>
      <c r="F5" s="5" t="s">
        <v>157</v>
      </c>
      <c r="G5" s="5" t="s">
        <v>158</v>
      </c>
      <c r="H5" s="5" t="s">
        <v>159</v>
      </c>
      <c r="I5" s="5" t="s">
        <v>160</v>
      </c>
      <c r="J5" s="5" t="s">
        <v>161</v>
      </c>
      <c r="K5" s="5" t="s">
        <v>162</v>
      </c>
      <c r="L5" s="5" t="s">
        <v>163</v>
      </c>
      <c r="M5" s="5" t="s">
        <v>164</v>
      </c>
      <c r="N5" s="5" t="s">
        <v>165</v>
      </c>
      <c r="O5" s="5" t="s">
        <v>13</v>
      </c>
      <c r="P5" s="5" t="s">
        <v>14</v>
      </c>
      <c r="Q5" s="5" t="s">
        <v>166</v>
      </c>
      <c r="R5" s="5" t="s">
        <v>167</v>
      </c>
      <c r="S5" s="6" t="s">
        <v>168</v>
      </c>
    </row>
    <row r="6" spans="1:19" ht="72" customHeight="1">
      <c r="A6" s="8" t="s">
        <v>19</v>
      </c>
      <c r="B6" s="8" t="s">
        <v>17</v>
      </c>
      <c r="C6" s="8" t="s">
        <v>169</v>
      </c>
      <c r="D6" s="8" t="s">
        <v>170</v>
      </c>
      <c r="E6" s="8" t="s">
        <v>171</v>
      </c>
      <c r="F6" s="8" t="s">
        <v>172</v>
      </c>
      <c r="G6" s="8" t="s">
        <v>173</v>
      </c>
      <c r="H6" s="8" t="s">
        <v>174</v>
      </c>
      <c r="I6" s="8" t="s">
        <v>175</v>
      </c>
      <c r="J6" s="8" t="s">
        <v>176</v>
      </c>
      <c r="K6" s="8" t="s">
        <v>177</v>
      </c>
      <c r="L6" s="8" t="s">
        <v>178</v>
      </c>
      <c r="M6" s="8" t="s">
        <v>179</v>
      </c>
      <c r="N6" s="10">
        <v>6</v>
      </c>
      <c r="O6" s="8" t="s">
        <v>26</v>
      </c>
      <c r="P6" s="8" t="s">
        <v>27</v>
      </c>
      <c r="Q6" s="12">
        <v>0</v>
      </c>
      <c r="R6" s="8" t="s">
        <v>180</v>
      </c>
      <c r="S6" s="8" t="s">
        <v>181</v>
      </c>
    </row>
    <row r="7" spans="1:19" ht="72" customHeight="1">
      <c r="A7" s="9" t="s">
        <v>30</v>
      </c>
      <c r="B7" s="9" t="s">
        <v>17</v>
      </c>
      <c r="C7" s="9" t="s">
        <v>169</v>
      </c>
      <c r="D7" s="9" t="s">
        <v>170</v>
      </c>
      <c r="E7" s="9" t="s">
        <v>182</v>
      </c>
      <c r="F7" s="9" t="s">
        <v>183</v>
      </c>
      <c r="G7" s="9" t="s">
        <v>173</v>
      </c>
      <c r="H7" s="9" t="s">
        <v>184</v>
      </c>
      <c r="I7" s="9" t="s">
        <v>185</v>
      </c>
      <c r="J7" s="9" t="s">
        <v>186</v>
      </c>
      <c r="K7" s="9" t="s">
        <v>187</v>
      </c>
      <c r="L7" s="9" t="s">
        <v>188</v>
      </c>
      <c r="M7" s="9" t="s">
        <v>189</v>
      </c>
      <c r="N7" s="11">
        <v>4</v>
      </c>
      <c r="O7" s="9" t="s">
        <v>19</v>
      </c>
      <c r="P7" s="9" t="s">
        <v>27</v>
      </c>
      <c r="Q7" s="13">
        <v>0</v>
      </c>
      <c r="R7" s="9" t="s">
        <v>180</v>
      </c>
      <c r="S7" s="9" t="s">
        <v>181</v>
      </c>
    </row>
    <row r="8" spans="1:19" ht="72" hidden="1" customHeight="1">
      <c r="A8" s="8" t="s">
        <v>33</v>
      </c>
      <c r="B8" s="8" t="s">
        <v>17</v>
      </c>
      <c r="C8" s="8" t="s">
        <v>190</v>
      </c>
      <c r="D8" s="8" t="s">
        <v>170</v>
      </c>
      <c r="E8" s="8" t="s">
        <v>191</v>
      </c>
      <c r="F8" s="8" t="s">
        <v>192</v>
      </c>
      <c r="G8" s="8" t="s">
        <v>193</v>
      </c>
      <c r="H8" s="8" t="s">
        <v>194</v>
      </c>
      <c r="I8" s="8" t="s">
        <v>195</v>
      </c>
      <c r="J8" s="8" t="s">
        <v>196</v>
      </c>
      <c r="K8" s="8" t="s">
        <v>197</v>
      </c>
      <c r="L8" s="8" t="s">
        <v>198</v>
      </c>
      <c r="M8" s="8" t="s">
        <v>199</v>
      </c>
      <c r="N8" s="10">
        <v>5</v>
      </c>
      <c r="O8" s="8" t="s">
        <v>19</v>
      </c>
      <c r="P8" s="8" t="s">
        <v>27</v>
      </c>
      <c r="Q8" s="12">
        <v>0</v>
      </c>
      <c r="R8" s="8" t="s">
        <v>180</v>
      </c>
      <c r="S8" s="8" t="s">
        <v>181</v>
      </c>
    </row>
    <row r="9" spans="1:19" ht="72" customHeight="1">
      <c r="A9" s="9" t="s">
        <v>40</v>
      </c>
      <c r="B9" s="9" t="s">
        <v>38</v>
      </c>
      <c r="C9" s="9" t="s">
        <v>169</v>
      </c>
      <c r="D9" s="9" t="s">
        <v>170</v>
      </c>
      <c r="E9" s="9" t="s">
        <v>200</v>
      </c>
      <c r="F9" s="9" t="s">
        <v>201</v>
      </c>
      <c r="G9" s="9" t="s">
        <v>202</v>
      </c>
      <c r="H9" s="9" t="s">
        <v>203</v>
      </c>
      <c r="I9" s="9" t="s">
        <v>204</v>
      </c>
      <c r="J9" s="9" t="s">
        <v>205</v>
      </c>
      <c r="K9" s="9" t="s">
        <v>206</v>
      </c>
      <c r="L9" s="9" t="s">
        <v>207</v>
      </c>
      <c r="M9" s="9" t="s">
        <v>208</v>
      </c>
      <c r="N9" s="11">
        <v>7</v>
      </c>
      <c r="O9" s="9" t="s">
        <v>85</v>
      </c>
      <c r="P9" s="9" t="s">
        <v>27</v>
      </c>
      <c r="Q9" s="13">
        <v>0</v>
      </c>
      <c r="R9" s="9" t="s">
        <v>180</v>
      </c>
      <c r="S9" s="9" t="s">
        <v>181</v>
      </c>
    </row>
    <row r="10" spans="1:19" ht="72" customHeight="1">
      <c r="A10" s="8" t="s">
        <v>51</v>
      </c>
      <c r="B10" s="8" t="s">
        <v>38</v>
      </c>
      <c r="C10" s="8" t="s">
        <v>169</v>
      </c>
      <c r="D10" s="8" t="s">
        <v>170</v>
      </c>
      <c r="E10" s="8" t="s">
        <v>209</v>
      </c>
      <c r="F10" s="8" t="s">
        <v>210</v>
      </c>
      <c r="G10" s="8" t="s">
        <v>202</v>
      </c>
      <c r="H10" s="8" t="s">
        <v>211</v>
      </c>
      <c r="I10" s="8" t="s">
        <v>212</v>
      </c>
      <c r="J10" s="8" t="s">
        <v>213</v>
      </c>
      <c r="K10" s="8" t="s">
        <v>214</v>
      </c>
      <c r="L10" s="8" t="s">
        <v>215</v>
      </c>
      <c r="M10" s="8" t="s">
        <v>216</v>
      </c>
      <c r="N10" s="10">
        <v>6</v>
      </c>
      <c r="O10" s="8" t="s">
        <v>40</v>
      </c>
      <c r="P10" s="8" t="s">
        <v>27</v>
      </c>
      <c r="Q10" s="12">
        <v>0</v>
      </c>
      <c r="R10" s="8" t="s">
        <v>180</v>
      </c>
      <c r="S10" s="8" t="s">
        <v>181</v>
      </c>
    </row>
    <row r="11" spans="1:19" ht="72" customHeight="1">
      <c r="A11" s="9" t="s">
        <v>62</v>
      </c>
      <c r="B11" s="9" t="s">
        <v>38</v>
      </c>
      <c r="C11" s="9" t="s">
        <v>169</v>
      </c>
      <c r="D11" s="9" t="s">
        <v>170</v>
      </c>
      <c r="E11" s="9" t="s">
        <v>217</v>
      </c>
      <c r="F11" s="9" t="s">
        <v>218</v>
      </c>
      <c r="G11" s="9" t="s">
        <v>219</v>
      </c>
      <c r="H11" s="9" t="s">
        <v>220</v>
      </c>
      <c r="I11" s="9" t="s">
        <v>221</v>
      </c>
      <c r="J11" s="9" t="s">
        <v>222</v>
      </c>
      <c r="K11" s="9" t="s">
        <v>223</v>
      </c>
      <c r="L11" s="9" t="s">
        <v>224</v>
      </c>
      <c r="M11" s="9" t="s">
        <v>225</v>
      </c>
      <c r="N11" s="11">
        <v>6</v>
      </c>
      <c r="O11" s="9" t="s">
        <v>85</v>
      </c>
      <c r="P11" s="9" t="s">
        <v>27</v>
      </c>
      <c r="Q11" s="13">
        <v>0</v>
      </c>
      <c r="R11" s="9" t="s">
        <v>180</v>
      </c>
      <c r="S11" s="9" t="s">
        <v>181</v>
      </c>
    </row>
    <row r="12" spans="1:19" ht="82.05" customHeight="1">
      <c r="A12" s="45" t="s">
        <v>369</v>
      </c>
      <c r="B12" s="46" t="s">
        <v>38</v>
      </c>
      <c r="C12" s="46" t="s">
        <v>169</v>
      </c>
      <c r="D12" s="49" t="s">
        <v>170</v>
      </c>
      <c r="E12" s="45" t="s">
        <v>474</v>
      </c>
      <c r="F12" s="45" t="s">
        <v>475</v>
      </c>
      <c r="G12" s="46" t="s">
        <v>476</v>
      </c>
      <c r="H12" s="46" t="s">
        <v>477</v>
      </c>
      <c r="I12" s="46" t="s">
        <v>478</v>
      </c>
      <c r="J12" s="46" t="s">
        <v>479</v>
      </c>
      <c r="K12" s="45" t="s">
        <v>480</v>
      </c>
      <c r="L12" s="46" t="s">
        <v>481</v>
      </c>
      <c r="M12" s="46" t="s">
        <v>482</v>
      </c>
      <c r="N12" s="47">
        <v>8</v>
      </c>
      <c r="O12" s="46" t="s">
        <v>483</v>
      </c>
      <c r="P12" s="46" t="s">
        <v>27</v>
      </c>
      <c r="Q12" s="48">
        <v>0</v>
      </c>
      <c r="R12" s="46" t="s">
        <v>180</v>
      </c>
      <c r="S12" s="46" t="s">
        <v>245</v>
      </c>
    </row>
    <row r="13" spans="1:19" ht="72" customHeight="1">
      <c r="A13" s="9" t="s">
        <v>78</v>
      </c>
      <c r="B13" s="9" t="s">
        <v>76</v>
      </c>
      <c r="C13" s="9" t="s">
        <v>169</v>
      </c>
      <c r="D13" s="9" t="s">
        <v>170</v>
      </c>
      <c r="E13" s="9" t="s">
        <v>226</v>
      </c>
      <c r="F13" s="9" t="s">
        <v>227</v>
      </c>
      <c r="G13" s="9" t="s">
        <v>228</v>
      </c>
      <c r="H13" s="9" t="s">
        <v>229</v>
      </c>
      <c r="I13" s="9" t="s">
        <v>230</v>
      </c>
      <c r="J13" s="9" t="s">
        <v>231</v>
      </c>
      <c r="K13" s="9" t="s">
        <v>232</v>
      </c>
      <c r="L13" s="9" t="s">
        <v>233</v>
      </c>
      <c r="M13" s="9" t="s">
        <v>234</v>
      </c>
      <c r="N13" s="11">
        <v>6</v>
      </c>
      <c r="O13" s="9" t="s">
        <v>85</v>
      </c>
      <c r="P13" s="9" t="s">
        <v>27</v>
      </c>
      <c r="Q13" s="13">
        <v>0</v>
      </c>
      <c r="R13" s="9" t="s">
        <v>180</v>
      </c>
      <c r="S13" s="9" t="s">
        <v>181</v>
      </c>
    </row>
    <row r="14" spans="1:19" ht="72" customHeight="1">
      <c r="A14" s="8" t="s">
        <v>235</v>
      </c>
      <c r="B14" s="8" t="s">
        <v>76</v>
      </c>
      <c r="C14" s="8" t="s">
        <v>169</v>
      </c>
      <c r="D14" s="8" t="s">
        <v>170</v>
      </c>
      <c r="E14" s="8" t="s">
        <v>236</v>
      </c>
      <c r="F14" s="8" t="s">
        <v>237</v>
      </c>
      <c r="G14" s="8" t="s">
        <v>238</v>
      </c>
      <c r="H14" s="8" t="s">
        <v>239</v>
      </c>
      <c r="I14" s="8" t="s">
        <v>240</v>
      </c>
      <c r="J14" s="8" t="s">
        <v>241</v>
      </c>
      <c r="K14" s="8" t="s">
        <v>242</v>
      </c>
      <c r="L14" s="8" t="s">
        <v>243</v>
      </c>
      <c r="M14" s="8" t="s">
        <v>244</v>
      </c>
      <c r="N14" s="10">
        <v>6</v>
      </c>
      <c r="O14" s="8" t="s">
        <v>78</v>
      </c>
      <c r="P14" s="8" t="s">
        <v>27</v>
      </c>
      <c r="Q14" s="12">
        <v>0</v>
      </c>
      <c r="R14" s="8" t="s">
        <v>180</v>
      </c>
      <c r="S14" s="8" t="s">
        <v>245</v>
      </c>
    </row>
    <row r="15" spans="1:19" ht="72" customHeight="1">
      <c r="A15" s="9" t="s">
        <v>246</v>
      </c>
      <c r="B15" s="9" t="s">
        <v>76</v>
      </c>
      <c r="C15" s="9" t="s">
        <v>169</v>
      </c>
      <c r="D15" s="9" t="s">
        <v>247</v>
      </c>
      <c r="E15" s="9" t="s">
        <v>248</v>
      </c>
      <c r="F15" s="9" t="s">
        <v>249</v>
      </c>
      <c r="G15" s="9" t="s">
        <v>250</v>
      </c>
      <c r="H15" s="9" t="s">
        <v>251</v>
      </c>
      <c r="I15" s="9" t="s">
        <v>252</v>
      </c>
      <c r="J15" s="9" t="s">
        <v>253</v>
      </c>
      <c r="K15" s="9" t="s">
        <v>254</v>
      </c>
      <c r="L15" s="9" t="s">
        <v>255</v>
      </c>
      <c r="M15" s="9" t="s">
        <v>256</v>
      </c>
      <c r="N15" s="11">
        <v>5</v>
      </c>
      <c r="O15" s="9" t="s">
        <v>257</v>
      </c>
      <c r="P15" s="9" t="s">
        <v>27</v>
      </c>
      <c r="Q15" s="13">
        <v>0</v>
      </c>
      <c r="R15" s="9" t="s">
        <v>180</v>
      </c>
      <c r="S15" s="9" t="s">
        <v>245</v>
      </c>
    </row>
    <row r="16" spans="1:19" ht="72" hidden="1" customHeight="1">
      <c r="A16" s="8" t="s">
        <v>81</v>
      </c>
      <c r="B16" s="8" t="s">
        <v>76</v>
      </c>
      <c r="C16" s="8" t="s">
        <v>190</v>
      </c>
      <c r="D16" s="8" t="s">
        <v>170</v>
      </c>
      <c r="E16" s="8" t="s">
        <v>258</v>
      </c>
      <c r="F16" s="8" t="s">
        <v>259</v>
      </c>
      <c r="G16" s="8" t="s">
        <v>260</v>
      </c>
      <c r="H16" s="8" t="s">
        <v>261</v>
      </c>
      <c r="I16" s="8" t="s">
        <v>262</v>
      </c>
      <c r="J16" s="8" t="s">
        <v>263</v>
      </c>
      <c r="K16" s="8" t="s">
        <v>264</v>
      </c>
      <c r="L16" s="8" t="s">
        <v>265</v>
      </c>
      <c r="M16" s="8" t="s">
        <v>266</v>
      </c>
      <c r="N16" s="10">
        <v>6</v>
      </c>
      <c r="O16" s="8" t="s">
        <v>257</v>
      </c>
      <c r="P16" s="8" t="s">
        <v>27</v>
      </c>
      <c r="Q16" s="12">
        <v>0</v>
      </c>
      <c r="R16" s="8" t="s">
        <v>180</v>
      </c>
      <c r="S16" s="8" t="s">
        <v>245</v>
      </c>
    </row>
    <row r="17" spans="1:19" ht="72" hidden="1" customHeight="1">
      <c r="A17" s="9" t="s">
        <v>43</v>
      </c>
      <c r="B17" s="9" t="s">
        <v>267</v>
      </c>
      <c r="C17" s="9" t="s">
        <v>190</v>
      </c>
      <c r="D17" s="9" t="s">
        <v>170</v>
      </c>
      <c r="E17" s="9" t="s">
        <v>268</v>
      </c>
      <c r="F17" s="9" t="s">
        <v>269</v>
      </c>
      <c r="G17" s="9" t="s">
        <v>270</v>
      </c>
      <c r="H17" s="9" t="s">
        <v>271</v>
      </c>
      <c r="I17" s="9" t="s">
        <v>272</v>
      </c>
      <c r="J17" s="9" t="s">
        <v>273</v>
      </c>
      <c r="K17" s="9" t="s">
        <v>274</v>
      </c>
      <c r="L17" s="9" t="s">
        <v>275</v>
      </c>
      <c r="M17" s="9" t="s">
        <v>276</v>
      </c>
      <c r="N17" s="11">
        <v>6</v>
      </c>
      <c r="O17" s="9" t="s">
        <v>85</v>
      </c>
      <c r="P17" s="9" t="s">
        <v>27</v>
      </c>
      <c r="Q17" s="13">
        <v>0</v>
      </c>
      <c r="R17" s="9" t="s">
        <v>180</v>
      </c>
      <c r="S17" s="9" t="s">
        <v>181</v>
      </c>
    </row>
    <row r="18" spans="1:19" ht="72" hidden="1" customHeight="1">
      <c r="A18" s="8" t="s">
        <v>54</v>
      </c>
      <c r="B18" s="8" t="s">
        <v>267</v>
      </c>
      <c r="C18" s="8" t="s">
        <v>190</v>
      </c>
      <c r="D18" s="8" t="s">
        <v>170</v>
      </c>
      <c r="E18" s="8" t="s">
        <v>277</v>
      </c>
      <c r="F18" s="8" t="s">
        <v>278</v>
      </c>
      <c r="G18" s="8" t="s">
        <v>279</v>
      </c>
      <c r="H18" s="8" t="s">
        <v>280</v>
      </c>
      <c r="I18" s="8" t="s">
        <v>281</v>
      </c>
      <c r="J18" s="8" t="s">
        <v>282</v>
      </c>
      <c r="K18" s="8" t="s">
        <v>283</v>
      </c>
      <c r="L18" s="8" t="s">
        <v>284</v>
      </c>
      <c r="M18" s="8" t="s">
        <v>285</v>
      </c>
      <c r="N18" s="10">
        <v>7</v>
      </c>
      <c r="O18" s="8" t="s">
        <v>43</v>
      </c>
      <c r="P18" s="8" t="s">
        <v>27</v>
      </c>
      <c r="Q18" s="12">
        <v>0</v>
      </c>
      <c r="R18" s="8" t="s">
        <v>180</v>
      </c>
      <c r="S18" s="8" t="s">
        <v>245</v>
      </c>
    </row>
    <row r="19" spans="1:19" ht="72" hidden="1" customHeight="1">
      <c r="A19" s="9" t="s">
        <v>65</v>
      </c>
      <c r="B19" s="9" t="s">
        <v>267</v>
      </c>
      <c r="C19" s="9" t="s">
        <v>190</v>
      </c>
      <c r="D19" s="9" t="s">
        <v>170</v>
      </c>
      <c r="E19" s="9" t="s">
        <v>286</v>
      </c>
      <c r="F19" s="9" t="s">
        <v>287</v>
      </c>
      <c r="G19" s="9" t="s">
        <v>288</v>
      </c>
      <c r="H19" s="9" t="s">
        <v>289</v>
      </c>
      <c r="I19" s="9" t="s">
        <v>290</v>
      </c>
      <c r="J19" s="9" t="s">
        <v>291</v>
      </c>
      <c r="K19" s="9" t="s">
        <v>292</v>
      </c>
      <c r="L19" s="9" t="s">
        <v>293</v>
      </c>
      <c r="M19" s="9" t="s">
        <v>294</v>
      </c>
      <c r="N19" s="11">
        <v>7</v>
      </c>
      <c r="O19" s="9" t="s">
        <v>295</v>
      </c>
      <c r="P19" s="9" t="s">
        <v>27</v>
      </c>
      <c r="Q19" s="13">
        <v>0</v>
      </c>
      <c r="R19" s="9" t="s">
        <v>180</v>
      </c>
      <c r="S19" s="9" t="s">
        <v>245</v>
      </c>
    </row>
    <row r="20" spans="1:19" ht="72" hidden="1" customHeight="1">
      <c r="A20" s="8" t="s">
        <v>71</v>
      </c>
      <c r="B20" s="8" t="s">
        <v>267</v>
      </c>
      <c r="C20" s="8" t="s">
        <v>190</v>
      </c>
      <c r="D20" s="8" t="s">
        <v>170</v>
      </c>
      <c r="E20" s="8" t="s">
        <v>296</v>
      </c>
      <c r="F20" s="8" t="s">
        <v>297</v>
      </c>
      <c r="G20" s="8" t="s">
        <v>298</v>
      </c>
      <c r="H20" s="8" t="s">
        <v>299</v>
      </c>
      <c r="I20" s="8" t="s">
        <v>300</v>
      </c>
      <c r="J20" s="8" t="s">
        <v>301</v>
      </c>
      <c r="K20" s="8" t="s">
        <v>302</v>
      </c>
      <c r="L20" s="8" t="s">
        <v>303</v>
      </c>
      <c r="M20" s="8" t="s">
        <v>304</v>
      </c>
      <c r="N20" s="10">
        <v>8</v>
      </c>
      <c r="O20" s="8" t="s">
        <v>305</v>
      </c>
      <c r="P20" s="8" t="s">
        <v>27</v>
      </c>
      <c r="Q20" s="12">
        <v>0</v>
      </c>
      <c r="R20" s="8" t="s">
        <v>180</v>
      </c>
      <c r="S20" s="8" t="s">
        <v>245</v>
      </c>
    </row>
    <row r="21" spans="1:19" ht="72" customHeight="1">
      <c r="A21" s="9" t="s">
        <v>99</v>
      </c>
      <c r="B21" s="9" t="s">
        <v>306</v>
      </c>
      <c r="C21" s="9" t="s">
        <v>169</v>
      </c>
      <c r="D21" s="9" t="s">
        <v>170</v>
      </c>
      <c r="E21" s="9" t="s">
        <v>307</v>
      </c>
      <c r="F21" s="9" t="s">
        <v>308</v>
      </c>
      <c r="G21" s="9" t="s">
        <v>193</v>
      </c>
      <c r="H21" s="9" t="s">
        <v>309</v>
      </c>
      <c r="I21" s="9" t="s">
        <v>310</v>
      </c>
      <c r="J21" s="9" t="s">
        <v>311</v>
      </c>
      <c r="K21" s="9" t="s">
        <v>312</v>
      </c>
      <c r="L21" s="9" t="s">
        <v>313</v>
      </c>
      <c r="M21" s="9" t="s">
        <v>314</v>
      </c>
      <c r="N21" s="11">
        <v>8</v>
      </c>
      <c r="O21" s="9" t="s">
        <v>106</v>
      </c>
      <c r="P21" s="9" t="s">
        <v>27</v>
      </c>
      <c r="Q21" s="13">
        <v>0</v>
      </c>
      <c r="R21" s="9" t="s">
        <v>180</v>
      </c>
      <c r="S21" s="9" t="s">
        <v>181</v>
      </c>
    </row>
    <row r="22" spans="1:19" ht="72" hidden="1" customHeight="1">
      <c r="A22" s="8" t="s">
        <v>111</v>
      </c>
      <c r="B22" s="8" t="s">
        <v>306</v>
      </c>
      <c r="C22" s="8" t="s">
        <v>190</v>
      </c>
      <c r="D22" s="8" t="s">
        <v>170</v>
      </c>
      <c r="E22" s="8" t="s">
        <v>315</v>
      </c>
      <c r="F22" s="8" t="s">
        <v>316</v>
      </c>
      <c r="G22" s="8" t="s">
        <v>193</v>
      </c>
      <c r="H22" s="8" t="s">
        <v>317</v>
      </c>
      <c r="I22" s="8" t="s">
        <v>318</v>
      </c>
      <c r="J22" s="8" t="s">
        <v>319</v>
      </c>
      <c r="K22" s="8" t="s">
        <v>320</v>
      </c>
      <c r="L22" s="8" t="s">
        <v>321</v>
      </c>
      <c r="M22" s="8" t="s">
        <v>322</v>
      </c>
      <c r="N22" s="10">
        <v>10</v>
      </c>
      <c r="O22" s="8" t="s">
        <v>99</v>
      </c>
      <c r="P22" s="8" t="s">
        <v>27</v>
      </c>
      <c r="Q22" s="12">
        <v>0</v>
      </c>
      <c r="R22" s="8" t="s">
        <v>180</v>
      </c>
      <c r="S22" s="8" t="s">
        <v>181</v>
      </c>
    </row>
    <row r="23" spans="1:19" ht="60" customHeight="1">
      <c r="A23" s="9" t="s">
        <v>323</v>
      </c>
      <c r="B23" s="9" t="s">
        <v>306</v>
      </c>
      <c r="C23" s="9" t="s">
        <v>169</v>
      </c>
      <c r="D23" s="9" t="s">
        <v>170</v>
      </c>
      <c r="E23" s="9" t="s">
        <v>484</v>
      </c>
      <c r="F23" s="9" t="s">
        <v>485</v>
      </c>
      <c r="G23" s="9" t="s">
        <v>486</v>
      </c>
      <c r="H23" s="9" t="s">
        <v>487</v>
      </c>
      <c r="I23" s="9" t="s">
        <v>488</v>
      </c>
      <c r="J23" s="9" t="s">
        <v>489</v>
      </c>
      <c r="K23" s="9" t="s">
        <v>490</v>
      </c>
      <c r="L23" s="9" t="s">
        <v>491</v>
      </c>
      <c r="M23" s="9" t="s">
        <v>492</v>
      </c>
      <c r="N23" s="11">
        <v>8</v>
      </c>
      <c r="O23" s="9" t="s">
        <v>468</v>
      </c>
      <c r="P23" s="9" t="s">
        <v>27</v>
      </c>
      <c r="Q23" s="13">
        <v>0</v>
      </c>
      <c r="R23" s="9" t="s">
        <v>180</v>
      </c>
      <c r="S23" s="9" t="s">
        <v>245</v>
      </c>
    </row>
    <row r="24" spans="1:19" ht="72" customHeight="1">
      <c r="A24" s="8" t="s">
        <v>121</v>
      </c>
      <c r="B24" s="8" t="s">
        <v>324</v>
      </c>
      <c r="C24" s="8" t="s">
        <v>325</v>
      </c>
      <c r="D24" s="8" t="s">
        <v>170</v>
      </c>
      <c r="E24" s="8" t="s">
        <v>326</v>
      </c>
      <c r="F24" s="8" t="s">
        <v>327</v>
      </c>
      <c r="G24" s="8" t="s">
        <v>328</v>
      </c>
      <c r="H24" s="8" t="s">
        <v>329</v>
      </c>
      <c r="I24" s="8" t="s">
        <v>330</v>
      </c>
      <c r="J24" s="8" t="s">
        <v>331</v>
      </c>
      <c r="K24" s="8" t="s">
        <v>332</v>
      </c>
      <c r="L24" s="8" t="s">
        <v>333</v>
      </c>
      <c r="M24" s="8" t="s">
        <v>334</v>
      </c>
      <c r="N24" s="10">
        <v>10</v>
      </c>
      <c r="O24" s="8" t="s">
        <v>335</v>
      </c>
      <c r="P24" s="8" t="s">
        <v>27</v>
      </c>
      <c r="Q24" s="12">
        <v>0</v>
      </c>
      <c r="R24" s="8" t="s">
        <v>180</v>
      </c>
      <c r="S24" s="8" t="s">
        <v>245</v>
      </c>
    </row>
    <row r="25" spans="1:19" ht="72" customHeight="1">
      <c r="A25" s="9" t="s">
        <v>136</v>
      </c>
      <c r="B25" s="9" t="s">
        <v>324</v>
      </c>
      <c r="C25" s="9" t="s">
        <v>325</v>
      </c>
      <c r="D25" s="9" t="s">
        <v>170</v>
      </c>
      <c r="E25" s="9" t="s">
        <v>336</v>
      </c>
      <c r="F25" s="9" t="s">
        <v>337</v>
      </c>
      <c r="G25" s="9" t="s">
        <v>173</v>
      </c>
      <c r="H25" s="9" t="s">
        <v>338</v>
      </c>
      <c r="I25" s="9" t="s">
        <v>339</v>
      </c>
      <c r="J25" s="9" t="s">
        <v>340</v>
      </c>
      <c r="K25" s="9" t="s">
        <v>341</v>
      </c>
      <c r="L25" s="9" t="s">
        <v>342</v>
      </c>
      <c r="M25" s="9" t="s">
        <v>343</v>
      </c>
      <c r="N25" s="11">
        <v>10</v>
      </c>
      <c r="O25" s="9" t="s">
        <v>121</v>
      </c>
      <c r="P25" s="9" t="s">
        <v>27</v>
      </c>
      <c r="Q25" s="13">
        <v>0</v>
      </c>
      <c r="R25" s="9" t="s">
        <v>180</v>
      </c>
      <c r="S25" s="9" t="s">
        <v>245</v>
      </c>
    </row>
  </sheetData>
  <autoFilter ref="A5:S25" xr:uid="{00000000-0001-0000-0100-000000000000}"/>
  <conditionalFormatting sqref="D6:D25">
    <cfRule type="containsText" dxfId="10" priority="4" operator="containsText" text="Must-have"/>
    <cfRule type="containsText" dxfId="9" priority="5" operator="containsText" text="Should-have"/>
  </conditionalFormatting>
  <conditionalFormatting sqref="P6:P25">
    <cfRule type="containsText" dxfId="8" priority="1" operator="containsText" text="Done"/>
    <cfRule type="containsText" dxfId="7" priority="2" operator="containsText" text="In Progress"/>
    <cfRule type="containsText" dxfId="6" priority="3" operator="containsText" text="Blocked"/>
  </conditionalFormatting>
  <dataValidations count="3">
    <dataValidation type="list" sqref="P6:P25" xr:uid="{00000000-0002-0000-0100-000000000000}">
      <formula1>"Not Started,In Progress,Blocked,Done"</formula1>
    </dataValidation>
    <dataValidation type="list" sqref="R6:R25" xr:uid="{00000000-0002-0000-0100-000001000000}">
      <formula1>"Pending,Observed,Supported,Validated"</formula1>
    </dataValidation>
    <dataValidation type="list" sqref="S6:S25" xr:uid="{00000000-0002-0000-0100-000002000000}">
      <formula1>"Not Applicable,Draft,Ready,Testing"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97A7"/>
  </sheetPr>
  <dimension ref="A1:T26"/>
  <sheetViews>
    <sheetView showGridLines="0" workbookViewId="0">
      <pane xSplit="5" ySplit="5" topLeftCell="F15" activePane="bottomRight" state="frozen"/>
      <selection pane="topRight"/>
      <selection pane="bottomLeft"/>
      <selection pane="bottomRight" activeCell="B16" sqref="B16"/>
    </sheetView>
  </sheetViews>
  <sheetFormatPr defaultRowHeight="13.8"/>
  <cols>
    <col min="1" max="1" width="20" customWidth="1"/>
    <col min="2" max="2" width="18" customWidth="1"/>
    <col min="3" max="4" width="11" customWidth="1"/>
    <col min="5" max="5" width="13" customWidth="1"/>
    <col min="6" max="20" width="7" customWidth="1"/>
  </cols>
  <sheetData>
    <row r="1" spans="1:20">
      <c r="A1" s="1"/>
      <c r="B1" s="1"/>
      <c r="C1" s="1"/>
      <c r="D1" s="1"/>
      <c r="E1" s="1"/>
      <c r="F1" s="1"/>
      <c r="G1" s="1"/>
      <c r="H1" s="1"/>
      <c r="I1" s="1"/>
      <c r="J1" s="1"/>
      <c r="K1" s="1"/>
      <c r="L1" s="1"/>
      <c r="M1" s="1"/>
      <c r="N1" s="1"/>
      <c r="O1" s="1"/>
      <c r="P1" s="1"/>
      <c r="Q1" s="1"/>
      <c r="R1" s="1"/>
      <c r="S1" s="1"/>
      <c r="T1" s="1"/>
    </row>
    <row r="2" spans="1:20" ht="21">
      <c r="A2" s="2" t="s">
        <v>344</v>
      </c>
      <c r="B2" s="1"/>
      <c r="C2" s="1"/>
      <c r="D2" s="1"/>
      <c r="E2" s="1"/>
      <c r="F2" s="1"/>
      <c r="G2" s="1"/>
      <c r="H2" s="1"/>
      <c r="I2" s="1"/>
      <c r="J2" s="1"/>
      <c r="K2" s="1"/>
      <c r="L2" s="1"/>
      <c r="M2" s="1"/>
      <c r="N2" s="1"/>
      <c r="O2" s="1"/>
      <c r="P2" s="1"/>
      <c r="Q2" s="1"/>
      <c r="R2" s="1"/>
      <c r="S2" s="1"/>
      <c r="T2" s="1"/>
    </row>
    <row r="3" spans="1:20">
      <c r="A3" s="3" t="s">
        <v>345</v>
      </c>
      <c r="B3" s="3"/>
      <c r="C3" s="3"/>
      <c r="D3" s="3"/>
      <c r="E3" s="3"/>
      <c r="F3" s="3"/>
      <c r="G3" s="3"/>
      <c r="H3" s="3"/>
      <c r="I3" s="3"/>
      <c r="J3" s="3"/>
      <c r="K3" s="3"/>
      <c r="L3" s="3"/>
      <c r="M3" s="3"/>
      <c r="N3" s="3"/>
      <c r="O3" s="3"/>
      <c r="P3" s="3"/>
      <c r="Q3" s="3"/>
      <c r="R3" s="3"/>
      <c r="S3" s="3"/>
      <c r="T3" s="3"/>
    </row>
    <row r="4" spans="1:20">
      <c r="A4" s="1"/>
      <c r="B4" s="1"/>
      <c r="C4" s="1"/>
      <c r="D4" s="1"/>
      <c r="E4" s="1"/>
      <c r="F4" s="1"/>
      <c r="G4" s="1"/>
      <c r="H4" s="1"/>
      <c r="I4" s="1"/>
      <c r="J4" s="1"/>
      <c r="K4" s="1"/>
      <c r="L4" s="1"/>
      <c r="M4" s="1"/>
      <c r="N4" s="1"/>
      <c r="O4" s="1"/>
      <c r="P4" s="1"/>
      <c r="Q4" s="1"/>
      <c r="R4" s="1"/>
      <c r="S4" s="1"/>
      <c r="T4" s="1"/>
    </row>
    <row r="5" spans="1:20">
      <c r="A5" s="4" t="s">
        <v>346</v>
      </c>
      <c r="B5" s="5" t="s">
        <v>347</v>
      </c>
      <c r="C5" s="5" t="s">
        <v>348</v>
      </c>
      <c r="D5" s="5" t="s">
        <v>349</v>
      </c>
      <c r="E5" s="5" t="s">
        <v>154</v>
      </c>
      <c r="F5" s="5" t="s">
        <v>350</v>
      </c>
      <c r="G5" s="5" t="s">
        <v>351</v>
      </c>
      <c r="H5" s="5" t="s">
        <v>352</v>
      </c>
      <c r="I5" s="5" t="s">
        <v>353</v>
      </c>
      <c r="J5" s="5" t="s">
        <v>354</v>
      </c>
      <c r="K5" s="5" t="s">
        <v>355</v>
      </c>
      <c r="L5" s="5" t="s">
        <v>356</v>
      </c>
      <c r="M5" s="5" t="s">
        <v>357</v>
      </c>
      <c r="N5" s="5" t="s">
        <v>358</v>
      </c>
      <c r="O5" s="5" t="s">
        <v>359</v>
      </c>
      <c r="P5" s="5" t="s">
        <v>360</v>
      </c>
      <c r="Q5" s="5" t="s">
        <v>361</v>
      </c>
      <c r="R5" s="5" t="s">
        <v>362</v>
      </c>
      <c r="S5" s="5" t="s">
        <v>363</v>
      </c>
      <c r="T5" s="6" t="s">
        <v>364</v>
      </c>
    </row>
    <row r="6" spans="1:20" ht="25.95" customHeight="1">
      <c r="A6" s="7" t="s">
        <v>365</v>
      </c>
      <c r="B6" s="7" t="s">
        <v>19</v>
      </c>
      <c r="C6" s="7">
        <v>1</v>
      </c>
      <c r="D6" s="7">
        <v>1</v>
      </c>
      <c r="E6" s="7" t="s">
        <v>169</v>
      </c>
      <c r="F6" s="16" t="s">
        <v>19</v>
      </c>
      <c r="G6" s="14"/>
      <c r="H6" s="14"/>
      <c r="I6" s="14"/>
      <c r="J6" s="14"/>
      <c r="K6" s="14"/>
      <c r="L6" s="14"/>
      <c r="M6" s="14"/>
      <c r="N6" s="14"/>
      <c r="O6" s="14"/>
      <c r="P6" s="14"/>
      <c r="Q6" s="14"/>
      <c r="R6" s="14"/>
      <c r="S6" s="14"/>
      <c r="T6" s="14"/>
    </row>
    <row r="7" spans="1:20" ht="25.95" customHeight="1">
      <c r="A7" s="1" t="s">
        <v>365</v>
      </c>
      <c r="B7" s="1" t="s">
        <v>30</v>
      </c>
      <c r="C7" s="1">
        <v>2</v>
      </c>
      <c r="D7" s="1">
        <v>2</v>
      </c>
      <c r="E7" s="1" t="s">
        <v>169</v>
      </c>
      <c r="F7" s="15"/>
      <c r="G7" s="16" t="s">
        <v>30</v>
      </c>
      <c r="H7" s="15"/>
      <c r="I7" s="15"/>
      <c r="J7" s="15"/>
      <c r="K7" s="15"/>
      <c r="L7" s="15"/>
      <c r="M7" s="15"/>
      <c r="N7" s="15"/>
      <c r="O7" s="15"/>
      <c r="P7" s="15"/>
      <c r="Q7" s="15"/>
      <c r="R7" s="15"/>
      <c r="S7" s="15"/>
      <c r="T7" s="15"/>
    </row>
    <row r="8" spans="1:20" ht="25.95" customHeight="1">
      <c r="A8" s="7" t="s">
        <v>366</v>
      </c>
      <c r="B8" s="7" t="s">
        <v>33</v>
      </c>
      <c r="C8" s="7">
        <v>1</v>
      </c>
      <c r="D8" s="7">
        <v>2</v>
      </c>
      <c r="E8" s="7" t="s">
        <v>190</v>
      </c>
      <c r="F8" s="17" t="s">
        <v>33</v>
      </c>
      <c r="G8" s="17" t="s">
        <v>33</v>
      </c>
      <c r="H8" s="14"/>
      <c r="I8" s="14"/>
      <c r="J8" s="14"/>
      <c r="K8" s="14"/>
      <c r="L8" s="14"/>
      <c r="M8" s="14"/>
      <c r="N8" s="14"/>
      <c r="O8" s="14"/>
      <c r="P8" s="14"/>
      <c r="Q8" s="14"/>
      <c r="R8" s="14"/>
      <c r="S8" s="14"/>
      <c r="T8" s="14"/>
    </row>
    <row r="9" spans="1:20" ht="25.95" customHeight="1">
      <c r="A9" s="1" t="s">
        <v>367</v>
      </c>
      <c r="B9" s="1" t="s">
        <v>40</v>
      </c>
      <c r="C9" s="1">
        <v>3</v>
      </c>
      <c r="D9" s="1">
        <v>3</v>
      </c>
      <c r="E9" s="1" t="s">
        <v>169</v>
      </c>
      <c r="F9" s="15"/>
      <c r="G9" s="15"/>
      <c r="H9" s="16" t="s">
        <v>40</v>
      </c>
      <c r="I9" s="15"/>
      <c r="J9" s="15"/>
      <c r="K9" s="15"/>
      <c r="L9" s="15"/>
      <c r="M9" s="15"/>
      <c r="N9" s="15"/>
      <c r="O9" s="15"/>
      <c r="P9" s="15"/>
      <c r="Q9" s="15"/>
      <c r="R9" s="15"/>
      <c r="S9" s="15"/>
      <c r="T9" s="15"/>
    </row>
    <row r="10" spans="1:20" ht="25.95" customHeight="1">
      <c r="A10" s="7" t="s">
        <v>367</v>
      </c>
      <c r="B10" s="7" t="s">
        <v>51</v>
      </c>
      <c r="C10" s="7">
        <v>4</v>
      </c>
      <c r="D10" s="7">
        <v>4</v>
      </c>
      <c r="E10" s="7" t="s">
        <v>169</v>
      </c>
      <c r="F10" s="14"/>
      <c r="G10" s="14"/>
      <c r="H10" s="14"/>
      <c r="I10" s="16" t="s">
        <v>51</v>
      </c>
      <c r="J10" s="14"/>
      <c r="K10" s="14"/>
      <c r="L10" s="14"/>
      <c r="M10" s="14"/>
      <c r="N10" s="14"/>
      <c r="O10" s="14"/>
      <c r="P10" s="14"/>
      <c r="Q10" s="14"/>
      <c r="R10" s="14"/>
      <c r="S10" s="14"/>
      <c r="T10" s="14"/>
    </row>
    <row r="11" spans="1:20" ht="25.95" customHeight="1">
      <c r="A11" s="1" t="s">
        <v>368</v>
      </c>
      <c r="B11" s="1" t="s">
        <v>62</v>
      </c>
      <c r="C11" s="1">
        <v>5</v>
      </c>
      <c r="D11" s="1">
        <v>5</v>
      </c>
      <c r="E11" s="1" t="s">
        <v>169</v>
      </c>
      <c r="F11" s="15"/>
      <c r="G11" s="15"/>
      <c r="H11" s="15"/>
      <c r="I11" s="15"/>
      <c r="J11" s="16" t="s">
        <v>62</v>
      </c>
      <c r="K11" s="15"/>
      <c r="L11" s="15"/>
      <c r="M11" s="15"/>
      <c r="N11" s="15"/>
      <c r="O11" s="15"/>
      <c r="P11" s="15"/>
      <c r="Q11" s="15"/>
      <c r="R11" s="15"/>
      <c r="S11" s="15"/>
      <c r="T11" s="15"/>
    </row>
    <row r="12" spans="1:20" ht="25.95" customHeight="1">
      <c r="A12" s="50" t="s">
        <v>493</v>
      </c>
      <c r="B12" s="50" t="s">
        <v>369</v>
      </c>
      <c r="C12" s="7">
        <v>6</v>
      </c>
      <c r="D12" s="7">
        <v>6</v>
      </c>
      <c r="E12" s="7" t="s">
        <v>169</v>
      </c>
      <c r="F12" s="14"/>
      <c r="G12" s="14"/>
      <c r="H12" s="14"/>
      <c r="I12" s="14"/>
      <c r="J12" s="14"/>
      <c r="K12" s="51" t="s">
        <v>369</v>
      </c>
      <c r="L12" s="14"/>
      <c r="M12" s="14"/>
      <c r="N12" s="14"/>
      <c r="O12" s="14"/>
      <c r="P12" s="14"/>
      <c r="Q12" s="14"/>
      <c r="R12" s="14"/>
      <c r="S12" s="14"/>
      <c r="T12" s="14"/>
    </row>
    <row r="13" spans="1:20" ht="25.95" customHeight="1">
      <c r="A13" s="1" t="s">
        <v>370</v>
      </c>
      <c r="B13" s="1" t="s">
        <v>78</v>
      </c>
      <c r="C13" s="1">
        <v>7</v>
      </c>
      <c r="D13" s="1">
        <v>7</v>
      </c>
      <c r="E13" s="1" t="s">
        <v>169</v>
      </c>
      <c r="F13" s="15"/>
      <c r="G13" s="15"/>
      <c r="H13" s="15"/>
      <c r="I13" s="15"/>
      <c r="J13" s="15"/>
      <c r="K13" s="15"/>
      <c r="L13" s="16" t="s">
        <v>78</v>
      </c>
      <c r="M13" s="15"/>
      <c r="N13" s="15"/>
      <c r="O13" s="15"/>
      <c r="P13" s="15"/>
      <c r="Q13" s="15"/>
      <c r="R13" s="15"/>
      <c r="S13" s="15"/>
      <c r="T13" s="15"/>
    </row>
    <row r="14" spans="1:20" ht="25.95" customHeight="1">
      <c r="A14" s="7" t="s">
        <v>370</v>
      </c>
      <c r="B14" s="7" t="s">
        <v>235</v>
      </c>
      <c r="C14" s="7">
        <v>8</v>
      </c>
      <c r="D14" s="7">
        <v>8</v>
      </c>
      <c r="E14" s="7" t="s">
        <v>169</v>
      </c>
      <c r="F14" s="14"/>
      <c r="G14" s="14"/>
      <c r="H14" s="14"/>
      <c r="I14" s="14"/>
      <c r="J14" s="14"/>
      <c r="K14" s="14"/>
      <c r="L14" s="14"/>
      <c r="M14" s="16" t="s">
        <v>235</v>
      </c>
      <c r="N14" s="14"/>
      <c r="O14" s="14"/>
      <c r="P14" s="14"/>
      <c r="Q14" s="14"/>
      <c r="R14" s="14"/>
      <c r="S14" s="14"/>
      <c r="T14" s="14"/>
    </row>
    <row r="15" spans="1:20" ht="25.95" customHeight="1">
      <c r="A15" s="1" t="s">
        <v>370</v>
      </c>
      <c r="B15" s="1" t="s">
        <v>246</v>
      </c>
      <c r="C15" s="1">
        <v>8</v>
      </c>
      <c r="D15" s="1">
        <v>8</v>
      </c>
      <c r="E15" s="1" t="s">
        <v>169</v>
      </c>
      <c r="F15" s="15"/>
      <c r="G15" s="15"/>
      <c r="H15" s="15"/>
      <c r="I15" s="15"/>
      <c r="J15" s="15"/>
      <c r="K15" s="15"/>
      <c r="L15" s="15"/>
      <c r="M15" s="16" t="s">
        <v>246</v>
      </c>
      <c r="N15" s="15"/>
      <c r="O15" s="15"/>
      <c r="P15" s="15"/>
      <c r="Q15" s="15"/>
      <c r="R15" s="15"/>
      <c r="S15" s="15"/>
      <c r="T15" s="15"/>
    </row>
    <row r="16" spans="1:20" ht="25.95" customHeight="1">
      <c r="A16" s="7" t="s">
        <v>371</v>
      </c>
      <c r="B16" s="7" t="s">
        <v>81</v>
      </c>
      <c r="C16" s="7">
        <v>7</v>
      </c>
      <c r="D16" s="7">
        <v>8</v>
      </c>
      <c r="E16" s="7" t="s">
        <v>190</v>
      </c>
      <c r="F16" s="14"/>
      <c r="G16" s="14"/>
      <c r="H16" s="14"/>
      <c r="I16" s="14"/>
      <c r="J16" s="14"/>
      <c r="K16" s="14"/>
      <c r="L16" s="17" t="s">
        <v>81</v>
      </c>
      <c r="M16" s="17" t="s">
        <v>81</v>
      </c>
      <c r="N16" s="14"/>
      <c r="O16" s="14"/>
      <c r="P16" s="14"/>
      <c r="Q16" s="14"/>
      <c r="R16" s="14"/>
      <c r="S16" s="14"/>
      <c r="T16" s="14"/>
    </row>
    <row r="17" spans="1:20" ht="25.95" customHeight="1">
      <c r="A17" s="1" t="s">
        <v>372</v>
      </c>
      <c r="B17" s="1" t="s">
        <v>43</v>
      </c>
      <c r="C17" s="1">
        <v>3</v>
      </c>
      <c r="D17" s="1">
        <v>3</v>
      </c>
      <c r="E17" s="1" t="s">
        <v>190</v>
      </c>
      <c r="F17" s="15"/>
      <c r="G17" s="15"/>
      <c r="H17" s="17" t="s">
        <v>43</v>
      </c>
      <c r="I17" s="15"/>
      <c r="J17" s="15"/>
      <c r="K17" s="15"/>
      <c r="L17" s="15"/>
      <c r="M17" s="15"/>
      <c r="N17" s="15"/>
      <c r="O17" s="15"/>
      <c r="P17" s="15"/>
      <c r="Q17" s="15"/>
      <c r="R17" s="15"/>
      <c r="S17" s="15"/>
      <c r="T17" s="15"/>
    </row>
    <row r="18" spans="1:20" ht="25.95" customHeight="1">
      <c r="A18" s="7" t="s">
        <v>373</v>
      </c>
      <c r="B18" s="7" t="s">
        <v>54</v>
      </c>
      <c r="C18" s="7">
        <v>4</v>
      </c>
      <c r="D18" s="7">
        <v>4</v>
      </c>
      <c r="E18" s="7" t="s">
        <v>190</v>
      </c>
      <c r="F18" s="14"/>
      <c r="G18" s="14"/>
      <c r="H18" s="14"/>
      <c r="I18" s="17" t="s">
        <v>54</v>
      </c>
      <c r="J18" s="14"/>
      <c r="K18" s="14"/>
      <c r="L18" s="14"/>
      <c r="M18" s="14"/>
      <c r="N18" s="14"/>
      <c r="O18" s="14"/>
      <c r="P18" s="14"/>
      <c r="Q18" s="14"/>
      <c r="R18" s="14"/>
      <c r="S18" s="14"/>
      <c r="T18" s="14"/>
    </row>
    <row r="19" spans="1:20" ht="25.95" customHeight="1">
      <c r="A19" s="1" t="s">
        <v>373</v>
      </c>
      <c r="B19" s="1" t="s">
        <v>65</v>
      </c>
      <c r="C19" s="1">
        <v>5</v>
      </c>
      <c r="D19" s="1">
        <v>5</v>
      </c>
      <c r="E19" s="1" t="s">
        <v>190</v>
      </c>
      <c r="F19" s="15"/>
      <c r="G19" s="15"/>
      <c r="H19" s="15"/>
      <c r="I19" s="15"/>
      <c r="J19" s="17" t="s">
        <v>65</v>
      </c>
      <c r="K19" s="15"/>
      <c r="L19" s="15"/>
      <c r="M19" s="15"/>
      <c r="N19" s="15"/>
      <c r="O19" s="15"/>
      <c r="P19" s="15"/>
      <c r="Q19" s="15"/>
      <c r="R19" s="15"/>
      <c r="S19" s="15"/>
      <c r="T19" s="15"/>
    </row>
    <row r="20" spans="1:20" ht="25.95" customHeight="1">
      <c r="A20" s="7" t="s">
        <v>373</v>
      </c>
      <c r="B20" s="7" t="s">
        <v>71</v>
      </c>
      <c r="C20" s="7">
        <v>6</v>
      </c>
      <c r="D20" s="7">
        <v>6</v>
      </c>
      <c r="E20" s="7" t="s">
        <v>190</v>
      </c>
      <c r="F20" s="14"/>
      <c r="G20" s="14"/>
      <c r="H20" s="14"/>
      <c r="I20" s="14"/>
      <c r="J20" s="14"/>
      <c r="K20" s="17" t="s">
        <v>71</v>
      </c>
      <c r="L20" s="14"/>
      <c r="M20" s="14"/>
      <c r="N20" s="14"/>
      <c r="O20" s="14"/>
      <c r="P20" s="14"/>
      <c r="Q20" s="14"/>
      <c r="R20" s="14"/>
      <c r="S20" s="14"/>
      <c r="T20" s="14"/>
    </row>
    <row r="21" spans="1:20" ht="25.95" customHeight="1">
      <c r="A21" s="1" t="s">
        <v>374</v>
      </c>
      <c r="B21" s="1" t="s">
        <v>99</v>
      </c>
      <c r="C21" s="1">
        <v>9</v>
      </c>
      <c r="D21" s="1">
        <v>10</v>
      </c>
      <c r="E21" s="1" t="s">
        <v>169</v>
      </c>
      <c r="F21" s="15"/>
      <c r="G21" s="15"/>
      <c r="H21" s="15"/>
      <c r="I21" s="15"/>
      <c r="J21" s="15"/>
      <c r="K21" s="15"/>
      <c r="L21" s="15"/>
      <c r="M21" s="15"/>
      <c r="N21" s="16" t="s">
        <v>99</v>
      </c>
      <c r="O21" s="16" t="s">
        <v>99</v>
      </c>
      <c r="P21" s="15"/>
      <c r="Q21" s="15"/>
      <c r="R21" s="15"/>
      <c r="S21" s="15"/>
      <c r="T21" s="15"/>
    </row>
    <row r="22" spans="1:20" ht="25.95" customHeight="1">
      <c r="A22" s="7" t="s">
        <v>375</v>
      </c>
      <c r="B22" s="7" t="s">
        <v>111</v>
      </c>
      <c r="C22" s="7">
        <v>9</v>
      </c>
      <c r="D22" s="7">
        <v>11</v>
      </c>
      <c r="E22" s="7" t="s">
        <v>190</v>
      </c>
      <c r="F22" s="14"/>
      <c r="G22" s="14"/>
      <c r="H22" s="14"/>
      <c r="I22" s="14"/>
      <c r="J22" s="14"/>
      <c r="K22" s="14"/>
      <c r="L22" s="14"/>
      <c r="M22" s="14"/>
      <c r="N22" s="17" t="s">
        <v>111</v>
      </c>
      <c r="O22" s="17" t="s">
        <v>111</v>
      </c>
      <c r="P22" s="17" t="s">
        <v>111</v>
      </c>
      <c r="Q22" s="14"/>
      <c r="R22" s="14"/>
      <c r="S22" s="14"/>
      <c r="T22" s="14"/>
    </row>
    <row r="23" spans="1:20" ht="13.8" customHeight="1">
      <c r="A23" s="1" t="s">
        <v>494</v>
      </c>
      <c r="B23" s="1" t="s">
        <v>323</v>
      </c>
      <c r="C23" s="1">
        <v>11</v>
      </c>
      <c r="D23" s="1">
        <v>12</v>
      </c>
      <c r="E23" s="1" t="s">
        <v>169</v>
      </c>
      <c r="F23" s="15"/>
      <c r="G23" s="15"/>
      <c r="H23" s="15"/>
      <c r="I23" s="15"/>
      <c r="J23" s="15"/>
      <c r="K23" s="15"/>
      <c r="L23" s="15"/>
      <c r="M23" s="15"/>
      <c r="N23" s="15"/>
      <c r="O23" s="15"/>
      <c r="P23" s="16" t="s">
        <v>323</v>
      </c>
      <c r="Q23" s="16" t="s">
        <v>323</v>
      </c>
      <c r="R23" s="15"/>
      <c r="S23" s="15"/>
      <c r="T23" s="15"/>
    </row>
    <row r="24" spans="1:20" ht="25.95" customHeight="1">
      <c r="A24" s="7" t="s">
        <v>376</v>
      </c>
      <c r="B24" s="7" t="s">
        <v>121</v>
      </c>
      <c r="C24" s="7">
        <v>12</v>
      </c>
      <c r="D24" s="7">
        <v>13</v>
      </c>
      <c r="E24" s="7" t="s">
        <v>325</v>
      </c>
      <c r="F24" s="14"/>
      <c r="G24" s="14"/>
      <c r="H24" s="14"/>
      <c r="I24" s="14"/>
      <c r="J24" s="14"/>
      <c r="K24" s="14"/>
      <c r="L24" s="14"/>
      <c r="M24" s="14"/>
      <c r="N24" s="14"/>
      <c r="O24" s="14"/>
      <c r="P24" s="14"/>
      <c r="Q24" s="18" t="s">
        <v>121</v>
      </c>
      <c r="R24" s="18" t="s">
        <v>121</v>
      </c>
      <c r="S24" s="14"/>
      <c r="T24" s="14"/>
    </row>
    <row r="25" spans="1:20" ht="25.95" customHeight="1">
      <c r="A25" s="1" t="s">
        <v>377</v>
      </c>
      <c r="B25" s="1" t="s">
        <v>136</v>
      </c>
      <c r="C25" s="1">
        <v>14</v>
      </c>
      <c r="D25" s="1">
        <v>14</v>
      </c>
      <c r="E25" s="1" t="s">
        <v>325</v>
      </c>
      <c r="F25" s="15"/>
      <c r="G25" s="15"/>
      <c r="H25" s="15"/>
      <c r="I25" s="15"/>
      <c r="J25" s="15"/>
      <c r="K25" s="15"/>
      <c r="L25" s="15"/>
      <c r="M25" s="15"/>
      <c r="N25" s="15"/>
      <c r="O25" s="15"/>
      <c r="P25" s="15"/>
      <c r="Q25" s="15"/>
      <c r="R25" s="15"/>
      <c r="S25" s="18" t="s">
        <v>136</v>
      </c>
      <c r="T25" s="15"/>
    </row>
    <row r="26" spans="1:20" ht="25.95" customHeight="1">
      <c r="A26" s="7" t="s">
        <v>143</v>
      </c>
      <c r="B26" s="7" t="s">
        <v>378</v>
      </c>
      <c r="C26" s="7">
        <v>15</v>
      </c>
      <c r="D26" s="7">
        <v>15</v>
      </c>
      <c r="E26" s="7" t="s">
        <v>325</v>
      </c>
      <c r="F26" s="14"/>
      <c r="G26" s="14"/>
      <c r="H26" s="14"/>
      <c r="I26" s="14"/>
      <c r="J26" s="14"/>
      <c r="K26" s="14"/>
      <c r="L26" s="14"/>
      <c r="M26" s="14"/>
      <c r="N26" s="14"/>
      <c r="O26" s="14"/>
      <c r="P26" s="14"/>
      <c r="Q26" s="14"/>
      <c r="R26" s="14"/>
      <c r="S26" s="14"/>
      <c r="T26" s="18" t="s">
        <v>379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6A600"/>
  </sheetPr>
  <dimension ref="A1:N20"/>
  <sheetViews>
    <sheetView showGridLines="0" workbookViewId="0">
      <pane ySplit="5" topLeftCell="A6" activePane="bottomLeft" state="frozen"/>
      <selection pane="bottomLeft"/>
    </sheetView>
  </sheetViews>
  <sheetFormatPr defaultRowHeight="13.8"/>
  <cols>
    <col min="1" max="1" width="24" customWidth="1"/>
    <col min="2" max="2" width="16" customWidth="1"/>
    <col min="3" max="3" width="20" customWidth="1"/>
    <col min="4" max="4" width="17" customWidth="1"/>
    <col min="5" max="5" width="18" customWidth="1"/>
    <col min="6" max="6" width="22" customWidth="1"/>
    <col min="7" max="7" width="18" customWidth="1"/>
    <col min="8" max="8" width="26" customWidth="1"/>
    <col min="9" max="9" width="38" customWidth="1"/>
    <col min="10" max="10" width="16" customWidth="1"/>
    <col min="11" max="11" width="3" customWidth="1"/>
    <col min="12" max="12" width="5" customWidth="1"/>
    <col min="13" max="13" width="25" customWidth="1"/>
    <col min="14" max="14" width="32" customWidth="1"/>
  </cols>
  <sheetData>
    <row r="1" spans="1:14">
      <c r="A1" s="1"/>
      <c r="B1" s="1"/>
      <c r="C1" s="1"/>
      <c r="D1" s="1"/>
      <c r="E1" s="1"/>
      <c r="F1" s="1"/>
      <c r="G1" s="1"/>
      <c r="H1" s="1"/>
      <c r="I1" s="1"/>
      <c r="J1" s="1"/>
      <c r="K1" s="1"/>
      <c r="L1" s="1"/>
      <c r="M1" s="1"/>
      <c r="N1" s="1"/>
    </row>
    <row r="2" spans="1:14" ht="21">
      <c r="A2" s="2" t="s">
        <v>380</v>
      </c>
      <c r="B2" s="1"/>
      <c r="C2" s="1"/>
      <c r="D2" s="1"/>
      <c r="E2" s="1"/>
      <c r="F2" s="1"/>
      <c r="G2" s="1"/>
      <c r="H2" s="1"/>
      <c r="I2" s="1"/>
      <c r="J2" s="1"/>
      <c r="K2" s="1"/>
      <c r="L2" s="1"/>
      <c r="M2" s="1"/>
      <c r="N2" s="1"/>
    </row>
    <row r="3" spans="1:14">
      <c r="A3" s="3" t="s">
        <v>381</v>
      </c>
      <c r="B3" s="3"/>
      <c r="C3" s="3"/>
      <c r="D3" s="3"/>
      <c r="E3" s="3"/>
      <c r="F3" s="3"/>
      <c r="G3" s="3"/>
      <c r="H3" s="3"/>
      <c r="I3" s="3"/>
      <c r="J3" s="3"/>
      <c r="K3" s="3"/>
      <c r="L3" s="3"/>
      <c r="M3" s="3"/>
      <c r="N3" s="3"/>
    </row>
    <row r="4" spans="1:14">
      <c r="A4" s="1"/>
      <c r="B4" s="1"/>
      <c r="C4" s="1"/>
      <c r="D4" s="1"/>
      <c r="E4" s="1"/>
      <c r="F4" s="1"/>
      <c r="G4" s="1"/>
      <c r="H4" s="1"/>
      <c r="I4" s="1"/>
      <c r="J4" s="1"/>
      <c r="K4" s="1"/>
      <c r="L4" s="1"/>
      <c r="M4" s="1"/>
      <c r="N4" s="1"/>
    </row>
    <row r="5" spans="1:14">
      <c r="A5" s="19" t="s">
        <v>382</v>
      </c>
      <c r="B5" s="20" t="s">
        <v>383</v>
      </c>
      <c r="C5" s="20" t="s">
        <v>384</v>
      </c>
      <c r="D5" s="21" t="s">
        <v>385</v>
      </c>
      <c r="E5" s="9"/>
      <c r="F5" s="19" t="s">
        <v>386</v>
      </c>
      <c r="G5" s="20" t="s">
        <v>387</v>
      </c>
      <c r="H5" s="20" t="s">
        <v>388</v>
      </c>
      <c r="I5" s="20" t="s">
        <v>389</v>
      </c>
      <c r="J5" s="21" t="s">
        <v>14</v>
      </c>
      <c r="K5" s="9"/>
      <c r="L5" s="19" t="s">
        <v>390</v>
      </c>
      <c r="M5" s="20" t="s">
        <v>391</v>
      </c>
      <c r="N5" s="21" t="s">
        <v>392</v>
      </c>
    </row>
    <row r="6" spans="1:14" ht="37.950000000000003" customHeight="1">
      <c r="A6" s="22" t="s">
        <v>393</v>
      </c>
      <c r="B6" s="8">
        <f>COUNTA('BQ REGISTER'!A6:A25)</f>
        <v>20</v>
      </c>
      <c r="C6" s="8">
        <v>20</v>
      </c>
      <c r="D6" s="23">
        <f t="shared" ref="D6:D11" si="0">B6/C6</f>
        <v>1</v>
      </c>
      <c r="E6" s="9"/>
      <c r="F6" s="24" t="s">
        <v>47</v>
      </c>
      <c r="G6" s="25" t="s">
        <v>351</v>
      </c>
      <c r="H6" s="25" t="s">
        <v>394</v>
      </c>
      <c r="I6" s="25" t="s">
        <v>395</v>
      </c>
      <c r="J6" s="26" t="s">
        <v>27</v>
      </c>
      <c r="K6" s="9"/>
      <c r="L6" s="27">
        <v>1</v>
      </c>
      <c r="M6" s="28" t="s">
        <v>202</v>
      </c>
      <c r="N6" s="29" t="s">
        <v>396</v>
      </c>
    </row>
    <row r="7" spans="1:14" ht="37.950000000000003" customHeight="1">
      <c r="A7" s="22" t="s">
        <v>397</v>
      </c>
      <c r="B7" s="8">
        <f>COUNTIFS('BQ REGISTER'!P6:P25,"Done")</f>
        <v>0</v>
      </c>
      <c r="C7" s="8">
        <v>20</v>
      </c>
      <c r="D7" s="23">
        <f t="shared" si="0"/>
        <v>0</v>
      </c>
      <c r="E7" s="9"/>
      <c r="F7" s="24" t="s">
        <v>398</v>
      </c>
      <c r="G7" s="25" t="s">
        <v>355</v>
      </c>
      <c r="H7" s="25" t="s">
        <v>399</v>
      </c>
      <c r="I7" s="25" t="s">
        <v>400</v>
      </c>
      <c r="J7" s="26" t="s">
        <v>27</v>
      </c>
      <c r="K7" s="9"/>
      <c r="L7" s="27">
        <v>2</v>
      </c>
      <c r="M7" s="28" t="s">
        <v>219</v>
      </c>
      <c r="N7" s="29" t="s">
        <v>401</v>
      </c>
    </row>
    <row r="8" spans="1:14" ht="37.950000000000003" customHeight="1">
      <c r="A8" s="22" t="s">
        <v>402</v>
      </c>
      <c r="B8" s="12">
        <f>AVERAGE('BQ REGISTER'!Q6:Q25)</f>
        <v>0</v>
      </c>
      <c r="C8" s="12">
        <v>1</v>
      </c>
      <c r="D8" s="23">
        <f t="shared" si="0"/>
        <v>0</v>
      </c>
      <c r="E8" s="9"/>
      <c r="F8" s="24" t="s">
        <v>403</v>
      </c>
      <c r="G8" s="25" t="s">
        <v>357</v>
      </c>
      <c r="H8" s="25" t="s">
        <v>404</v>
      </c>
      <c r="I8" s="25" t="s">
        <v>405</v>
      </c>
      <c r="J8" s="26" t="s">
        <v>27</v>
      </c>
      <c r="K8" s="9"/>
      <c r="L8" s="27">
        <v>3</v>
      </c>
      <c r="M8" s="28" t="s">
        <v>406</v>
      </c>
      <c r="N8" s="29" t="s">
        <v>407</v>
      </c>
    </row>
    <row r="9" spans="1:14" ht="37.950000000000003" customHeight="1">
      <c r="A9" s="22" t="s">
        <v>408</v>
      </c>
      <c r="B9" s="8">
        <f>COUNTIFS('BQ REGISTER'!D6:D25,"Must-have",'BQ REGISTER'!P6:P25,"Done")</f>
        <v>0</v>
      </c>
      <c r="C9" s="8">
        <f>COUNTIFS('BQ REGISTER'!D6:D25,"Must-have")</f>
        <v>19</v>
      </c>
      <c r="D9" s="23">
        <f t="shared" si="0"/>
        <v>0</v>
      </c>
      <c r="E9" s="9"/>
      <c r="F9" s="24" t="s">
        <v>409</v>
      </c>
      <c r="G9" s="25" t="s">
        <v>360</v>
      </c>
      <c r="H9" s="25" t="s">
        <v>410</v>
      </c>
      <c r="I9" s="25" t="s">
        <v>411</v>
      </c>
      <c r="J9" s="26" t="s">
        <v>27</v>
      </c>
      <c r="K9" s="9"/>
      <c r="L9" s="27">
        <v>4</v>
      </c>
      <c r="M9" s="28" t="s">
        <v>228</v>
      </c>
      <c r="N9" s="29" t="s">
        <v>412</v>
      </c>
    </row>
    <row r="10" spans="1:14" ht="37.950000000000003" customHeight="1">
      <c r="A10" s="22" t="s">
        <v>413</v>
      </c>
      <c r="B10" s="8">
        <f>COUNTIFS('BQ REGISTER'!R6:R25,"Validated")</f>
        <v>0</v>
      </c>
      <c r="C10" s="8">
        <v>20</v>
      </c>
      <c r="D10" s="23">
        <f t="shared" si="0"/>
        <v>0</v>
      </c>
      <c r="E10" s="9"/>
      <c r="F10" s="24" t="s">
        <v>414</v>
      </c>
      <c r="G10" s="25" t="s">
        <v>362</v>
      </c>
      <c r="H10" s="25" t="s">
        <v>415</v>
      </c>
      <c r="I10" s="25" t="s">
        <v>416</v>
      </c>
      <c r="J10" s="26" t="s">
        <v>27</v>
      </c>
      <c r="K10" s="9"/>
      <c r="L10" s="27">
        <v>5</v>
      </c>
      <c r="M10" s="28" t="s">
        <v>417</v>
      </c>
      <c r="N10" s="29" t="s">
        <v>418</v>
      </c>
    </row>
    <row r="11" spans="1:14" ht="37.950000000000003" customHeight="1">
      <c r="A11" s="30" t="s">
        <v>419</v>
      </c>
      <c r="B11" s="31">
        <f>COUNTIFS('BQ REGISTER'!S6:S25,"Ready")</f>
        <v>0</v>
      </c>
      <c r="C11" s="31">
        <v>2</v>
      </c>
      <c r="D11" s="32">
        <f t="shared" si="0"/>
        <v>0</v>
      </c>
      <c r="E11" s="9"/>
      <c r="F11" s="33" t="s">
        <v>420</v>
      </c>
      <c r="G11" s="34" t="s">
        <v>364</v>
      </c>
      <c r="H11" s="34" t="s">
        <v>421</v>
      </c>
      <c r="I11" s="34" t="s">
        <v>422</v>
      </c>
      <c r="J11" s="35" t="s">
        <v>27</v>
      </c>
      <c r="K11" s="9"/>
      <c r="L11" s="27">
        <v>6</v>
      </c>
      <c r="M11" s="28" t="s">
        <v>423</v>
      </c>
      <c r="N11" s="29" t="s">
        <v>424</v>
      </c>
    </row>
    <row r="12" spans="1:14" ht="37.950000000000003" customHeight="1">
      <c r="A12" s="9"/>
      <c r="B12" s="9"/>
      <c r="C12" s="9"/>
      <c r="D12" s="9"/>
      <c r="E12" s="9"/>
      <c r="F12" s="9"/>
      <c r="G12" s="9"/>
      <c r="H12" s="9"/>
      <c r="I12" s="9"/>
      <c r="J12" s="9"/>
      <c r="K12" s="9"/>
      <c r="L12" s="27">
        <v>7</v>
      </c>
      <c r="M12" s="28" t="s">
        <v>425</v>
      </c>
      <c r="N12" s="29" t="s">
        <v>426</v>
      </c>
    </row>
    <row r="13" spans="1:14" ht="37.950000000000003" customHeight="1">
      <c r="A13" s="9"/>
      <c r="B13" s="9"/>
      <c r="C13" s="9"/>
      <c r="D13" s="9"/>
      <c r="E13" s="9"/>
      <c r="F13" s="9"/>
      <c r="G13" s="9"/>
      <c r="H13" s="9"/>
      <c r="I13" s="9"/>
      <c r="J13" s="9"/>
      <c r="K13" s="9"/>
      <c r="L13" s="27">
        <v>8</v>
      </c>
      <c r="M13" s="28" t="s">
        <v>427</v>
      </c>
      <c r="N13" s="29" t="s">
        <v>428</v>
      </c>
    </row>
    <row r="14" spans="1:14" ht="43.95" customHeight="1">
      <c r="A14" s="19" t="s">
        <v>429</v>
      </c>
      <c r="B14" s="20" t="s">
        <v>430</v>
      </c>
      <c r="C14" s="20" t="s">
        <v>431</v>
      </c>
      <c r="D14" s="20" t="s">
        <v>432</v>
      </c>
      <c r="E14" s="20" t="s">
        <v>433</v>
      </c>
      <c r="F14" s="20" t="s">
        <v>434</v>
      </c>
      <c r="G14" s="21" t="s">
        <v>14</v>
      </c>
      <c r="H14" s="9"/>
      <c r="I14" s="9"/>
      <c r="J14" s="9"/>
      <c r="K14" s="9"/>
      <c r="L14" s="27">
        <v>9</v>
      </c>
      <c r="M14" s="28" t="s">
        <v>435</v>
      </c>
      <c r="N14" s="29" t="s">
        <v>436</v>
      </c>
    </row>
    <row r="15" spans="1:14" ht="54" customHeight="1">
      <c r="A15" s="36" t="s">
        <v>437</v>
      </c>
      <c r="B15" s="37" t="s">
        <v>438</v>
      </c>
      <c r="C15" s="37" t="s">
        <v>439</v>
      </c>
      <c r="D15" s="37" t="s">
        <v>440</v>
      </c>
      <c r="E15" s="37" t="s">
        <v>441</v>
      </c>
      <c r="F15" s="37" t="s">
        <v>442</v>
      </c>
      <c r="G15" s="38" t="s">
        <v>245</v>
      </c>
      <c r="H15" s="9"/>
      <c r="I15" s="9"/>
      <c r="J15" s="9"/>
      <c r="K15" s="9"/>
      <c r="L15" s="39">
        <v>10</v>
      </c>
      <c r="M15" s="40" t="s">
        <v>443</v>
      </c>
      <c r="N15" s="41" t="s">
        <v>444</v>
      </c>
    </row>
    <row r="16" spans="1:14" ht="70.05" customHeight="1">
      <c r="A16" s="52" t="s">
        <v>495</v>
      </c>
      <c r="B16" s="46" t="s">
        <v>496</v>
      </c>
      <c r="C16" s="46" t="s">
        <v>497</v>
      </c>
      <c r="D16" s="46" t="s">
        <v>440</v>
      </c>
      <c r="E16" s="46" t="s">
        <v>498</v>
      </c>
      <c r="F16" s="46" t="s">
        <v>499</v>
      </c>
      <c r="G16" s="53" t="s">
        <v>245</v>
      </c>
      <c r="H16" s="9"/>
      <c r="I16" s="9"/>
      <c r="J16" s="9"/>
      <c r="K16" s="9"/>
      <c r="L16" s="9"/>
      <c r="M16" s="9"/>
      <c r="N16" s="9"/>
    </row>
    <row r="17" spans="1:14" ht="54" customHeight="1">
      <c r="A17" s="36" t="s">
        <v>445</v>
      </c>
      <c r="B17" s="37" t="s">
        <v>95</v>
      </c>
      <c r="C17" s="37" t="s">
        <v>446</v>
      </c>
      <c r="D17" s="37" t="s">
        <v>440</v>
      </c>
      <c r="E17" s="37" t="s">
        <v>447</v>
      </c>
      <c r="F17" s="37" t="s">
        <v>448</v>
      </c>
      <c r="G17" s="38" t="s">
        <v>245</v>
      </c>
      <c r="H17" s="9"/>
      <c r="I17" s="9"/>
      <c r="J17" s="9"/>
      <c r="K17" s="9"/>
      <c r="L17" s="9"/>
      <c r="M17" s="9"/>
      <c r="N17" s="9"/>
    </row>
    <row r="18" spans="1:14" ht="54" customHeight="1">
      <c r="A18" s="36" t="s">
        <v>449</v>
      </c>
      <c r="B18" s="37" t="s">
        <v>450</v>
      </c>
      <c r="C18" s="37" t="s">
        <v>275</v>
      </c>
      <c r="D18" s="37" t="s">
        <v>440</v>
      </c>
      <c r="E18" s="37" t="s">
        <v>451</v>
      </c>
      <c r="F18" s="37" t="s">
        <v>452</v>
      </c>
      <c r="G18" s="38" t="s">
        <v>245</v>
      </c>
      <c r="H18" s="9"/>
      <c r="I18" s="9"/>
      <c r="J18" s="9"/>
      <c r="K18" s="9"/>
      <c r="L18" s="9"/>
      <c r="M18" s="9"/>
      <c r="N18" s="9"/>
    </row>
    <row r="19" spans="1:14" ht="36" customHeight="1">
      <c r="A19" s="36" t="s">
        <v>500</v>
      </c>
      <c r="B19" s="37" t="s">
        <v>501</v>
      </c>
      <c r="C19" s="37" t="s">
        <v>502</v>
      </c>
      <c r="D19" s="37" t="s">
        <v>503</v>
      </c>
      <c r="E19" s="37" t="s">
        <v>504</v>
      </c>
      <c r="F19" s="37" t="s">
        <v>505</v>
      </c>
      <c r="G19" s="38" t="s">
        <v>245</v>
      </c>
      <c r="H19" s="9"/>
      <c r="I19" s="9"/>
      <c r="J19" s="9"/>
      <c r="K19" s="9"/>
      <c r="L19" s="9"/>
      <c r="M19" s="9"/>
      <c r="N19" s="9"/>
    </row>
    <row r="20" spans="1:14" ht="54" customHeight="1">
      <c r="A20" s="42" t="s">
        <v>453</v>
      </c>
      <c r="B20" s="43" t="s">
        <v>454</v>
      </c>
      <c r="C20" s="43" t="s">
        <v>455</v>
      </c>
      <c r="D20" s="43" t="s">
        <v>456</v>
      </c>
      <c r="E20" s="43" t="s">
        <v>457</v>
      </c>
      <c r="F20" s="43" t="s">
        <v>458</v>
      </c>
      <c r="G20" s="44" t="s">
        <v>245</v>
      </c>
      <c r="H20" s="9"/>
      <c r="I20" s="9"/>
      <c r="J20" s="9"/>
      <c r="K20" s="9"/>
      <c r="L20" s="9"/>
      <c r="M20" s="9"/>
      <c r="N20" s="9"/>
    </row>
  </sheetData>
  <conditionalFormatting sqref="G15:G20">
    <cfRule type="containsText" dxfId="5" priority="4" operator="containsText" text="Done"/>
    <cfRule type="containsText" dxfId="4" priority="5" operator="containsText" text="In Progress"/>
    <cfRule type="containsText" dxfId="3" priority="6" operator="containsText" text="Blocked"/>
  </conditionalFormatting>
  <conditionalFormatting sqref="J6:J11">
    <cfRule type="containsText" dxfId="2" priority="1" operator="containsText" text="Done"/>
    <cfRule type="containsText" dxfId="1" priority="2" operator="containsText" text="In Progress"/>
    <cfRule type="containsText" dxfId="0" priority="3" operator="containsText" text="Blocked"/>
  </conditionalFormatting>
  <dataValidations count="2">
    <dataValidation type="list" sqref="J6:J11" xr:uid="{00000000-0002-0000-0300-000000000000}">
      <formula1>"Not Started,In Progress,Blocked,Done"</formula1>
    </dataValidation>
    <dataValidation type="list" sqref="G15:G20" xr:uid="{00000000-0002-0000-0300-000001000000}">
      <formula1>"Draft,Ready,Testing,Done"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ROADMAP</vt:lpstr>
      <vt:lpstr>BQ REGISTER</vt:lpstr>
      <vt:lpstr>GANTT CHART</vt:lpstr>
      <vt:lpstr>PROGRESS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23001534 Nguyễn Tiến Lưỡng</cp:lastModifiedBy>
  <dcterms:modified xsi:type="dcterms:W3CDTF">2026-10-29T03:37:33Z</dcterms:modified>
</cp:coreProperties>
</file>